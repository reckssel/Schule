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inemil\Documents\Schule\"/>
    </mc:Choice>
  </mc:AlternateContent>
  <xr:revisionPtr revIDLastSave="0" documentId="13_ncr:1_{051B67B5-CD7A-49F3-8F3D-C4EEC1D582ED}" xr6:coauthVersionLast="47" xr6:coauthVersionMax="47" xr10:uidLastSave="{00000000-0000-0000-0000-000000000000}"/>
  <bookViews>
    <workbookView xWindow="-120" yWindow="-120" windowWidth="38640" windowHeight="21120" tabRatio="1000" firstSheet="1" activeTab="9" xr2:uid="{00000000-000D-0000-FFFF-FFFF00000000}"/>
  </bookViews>
  <sheets>
    <sheet name="Übung1" sheetId="21" r:id="rId1"/>
    <sheet name="Übung2" sheetId="34" r:id="rId2"/>
    <sheet name="Übung3" sheetId="33" r:id="rId3"/>
    <sheet name="Übung4" sheetId="22" r:id="rId4"/>
    <sheet name="Übung5" sheetId="23" r:id="rId5"/>
    <sheet name="Übung6" sheetId="24" r:id="rId6"/>
    <sheet name="Übung7" sheetId="25" r:id="rId7"/>
    <sheet name="Übung8" sheetId="26" r:id="rId8"/>
    <sheet name="Übung9" sheetId="27" r:id="rId9"/>
    <sheet name="Übung10" sheetId="28" r:id="rId10"/>
    <sheet name="11Ausbildungsvergütung" sheetId="7" r:id="rId11"/>
    <sheet name="12Weihnachtsgeld" sheetId="3" r:id="rId12"/>
    <sheet name="13Gehaltszuschlag" sheetId="8" r:id="rId13"/>
    <sheet name="14Tarifvertrag" sheetId="5" r:id="rId14"/>
    <sheet name="15Hotel" sheetId="16" r:id="rId15"/>
    <sheet name="16Vergleich Zahlenreihen" sheetId="17" r:id="rId16"/>
    <sheet name="17Verschachtelte Wenn Funktion" sheetId="15" r:id="rId17"/>
    <sheet name="18Analyse" sheetId="19" r:id="rId18"/>
    <sheet name="19Skontoberechnung" sheetId="18" r:id="rId19"/>
    <sheet name="20Einstellungstest" sheetId="35" r:id="rId2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28" l="1"/>
  <c r="E13" i="28"/>
  <c r="E14" i="28"/>
  <c r="E15" i="28"/>
  <c r="E16" i="28"/>
  <c r="E17" i="28"/>
  <c r="E18" i="28"/>
  <c r="E19" i="28"/>
  <c r="E20" i="28"/>
  <c r="E21" i="28"/>
  <c r="E22" i="28"/>
  <c r="E11" i="28"/>
  <c r="E12" i="28"/>
  <c r="D12" i="28"/>
  <c r="D13" i="28" s="1"/>
  <c r="D14" i="28" s="1"/>
  <c r="D15" i="28" s="1"/>
  <c r="D16" i="28" s="1"/>
  <c r="D17" i="28" s="1"/>
  <c r="D18" i="28" s="1"/>
  <c r="D19" i="28" s="1"/>
  <c r="D20" i="28" s="1"/>
  <c r="D21" i="28" s="1"/>
  <c r="D22" i="28" s="1"/>
  <c r="D11" i="28"/>
  <c r="J5" i="27"/>
  <c r="J6" i="27"/>
  <c r="J7" i="27"/>
  <c r="J4" i="27"/>
  <c r="I8" i="27"/>
  <c r="I5" i="27"/>
  <c r="I6" i="27"/>
  <c r="I7" i="27"/>
  <c r="I4" i="27"/>
  <c r="H4" i="27"/>
  <c r="H5" i="27"/>
  <c r="H6" i="27"/>
  <c r="H7" i="27"/>
  <c r="G5" i="27"/>
  <c r="G6" i="27"/>
  <c r="G7" i="27"/>
  <c r="G8" i="27"/>
  <c r="G4" i="27"/>
  <c r="F5" i="27"/>
  <c r="F6" i="27"/>
  <c r="F7" i="27"/>
  <c r="F8" i="27"/>
  <c r="F4" i="27"/>
  <c r="C8" i="27"/>
  <c r="D8" i="27"/>
  <c r="E8" i="27"/>
  <c r="B8" i="27"/>
  <c r="F6" i="26"/>
  <c r="F7" i="26"/>
  <c r="F8" i="26"/>
  <c r="F5" i="26"/>
  <c r="E6" i="26"/>
  <c r="E7" i="26"/>
  <c r="E8" i="26"/>
  <c r="E9" i="26"/>
  <c r="E5" i="26"/>
  <c r="C6" i="26"/>
  <c r="C7" i="26"/>
  <c r="C8" i="26"/>
  <c r="C5" i="26"/>
  <c r="D9" i="26"/>
  <c r="B9" i="26"/>
  <c r="E12" i="33"/>
  <c r="E13" i="33"/>
  <c r="E14" i="33"/>
  <c r="E15" i="33"/>
  <c r="E11" i="33"/>
  <c r="D12" i="33"/>
  <c r="D13" i="33"/>
  <c r="D14" i="33"/>
  <c r="D15" i="33"/>
  <c r="D11" i="33"/>
  <c r="C12" i="33"/>
  <c r="C13" i="33"/>
  <c r="C14" i="33"/>
  <c r="C15" i="33"/>
  <c r="C11" i="33"/>
  <c r="C12" i="34"/>
  <c r="C13" i="34"/>
  <c r="C14" i="34"/>
  <c r="C15" i="34"/>
  <c r="C16" i="34"/>
  <c r="C17" i="34"/>
  <c r="C18" i="34"/>
  <c r="C19" i="34"/>
  <c r="C11" i="34"/>
  <c r="D11" i="21"/>
  <c r="D12" i="21"/>
  <c r="D13" i="21"/>
  <c r="D14" i="21"/>
  <c r="D15" i="21"/>
  <c r="D10" i="21"/>
  <c r="C11" i="21"/>
  <c r="C12" i="21"/>
  <c r="C13" i="21"/>
  <c r="C14" i="21"/>
  <c r="C15" i="21"/>
  <c r="C10" i="21"/>
  <c r="E10" i="28"/>
  <c r="I34" i="15" l="1"/>
  <c r="I33" i="15"/>
  <c r="I31" i="15"/>
  <c r="I19" i="15"/>
</calcChain>
</file>

<file path=xl/sharedStrings.xml><?xml version="1.0" encoding="utf-8"?>
<sst xmlns="http://schemas.openxmlformats.org/spreadsheetml/2006/main" count="353" uniqueCount="297">
  <si>
    <t xml:space="preserve">Name </t>
  </si>
  <si>
    <t xml:space="preserve">Alter </t>
  </si>
  <si>
    <t xml:space="preserve">Schmid </t>
  </si>
  <si>
    <t>Heinz</t>
  </si>
  <si>
    <t>Brunner</t>
  </si>
  <si>
    <t>Huber</t>
  </si>
  <si>
    <t>Franke</t>
  </si>
  <si>
    <t>Berg</t>
  </si>
  <si>
    <t>Past</t>
  </si>
  <si>
    <t>Jahre im Betrieb</t>
  </si>
  <si>
    <t>Weihnachtsgeld in Euro</t>
  </si>
  <si>
    <t>Ermittlung der Weihnachtsprämie</t>
  </si>
  <si>
    <t>Abstimmung eines neuen Tarifvertrages</t>
  </si>
  <si>
    <t>Name</t>
  </si>
  <si>
    <t>Paul S.</t>
  </si>
  <si>
    <t>Isabella S.</t>
  </si>
  <si>
    <t>Manuel K.</t>
  </si>
  <si>
    <t>Dieter F.</t>
  </si>
  <si>
    <t>Karina D.</t>
  </si>
  <si>
    <t>Samuel N.</t>
  </si>
  <si>
    <t>Nina J.</t>
  </si>
  <si>
    <t>Tanja K.</t>
  </si>
  <si>
    <t>Melanie F.</t>
  </si>
  <si>
    <t>Franziska R.</t>
  </si>
  <si>
    <t>Lukas H.</t>
  </si>
  <si>
    <t>Sabrina V.</t>
  </si>
  <si>
    <t>Tarivertrag 1</t>
  </si>
  <si>
    <t>Tarivertrag 2</t>
  </si>
  <si>
    <t>Ausbildungsjahr</t>
  </si>
  <si>
    <t>Vergütung</t>
  </si>
  <si>
    <t>Christian W.</t>
  </si>
  <si>
    <t>Martin K.</t>
  </si>
  <si>
    <t>Jonas H.</t>
  </si>
  <si>
    <t>Michelle K.</t>
  </si>
  <si>
    <t>Johannes I.</t>
  </si>
  <si>
    <t>Maria B.</t>
  </si>
  <si>
    <t>Vera S.</t>
  </si>
  <si>
    <t>David G.</t>
  </si>
  <si>
    <t>Lena M.</t>
  </si>
  <si>
    <t>Alter</t>
  </si>
  <si>
    <t>Klaus T.</t>
  </si>
  <si>
    <t>Wolfgang P.</t>
  </si>
  <si>
    <t>Andreas L.</t>
  </si>
  <si>
    <t>Christian D.</t>
  </si>
  <si>
    <t>Thomas K.</t>
  </si>
  <si>
    <t>Peter A.</t>
  </si>
  <si>
    <t>Gehaltserhöhung für Ältere</t>
  </si>
  <si>
    <t>Gehaltserhöhung in %</t>
  </si>
  <si>
    <t>Ausbildungsvergütung</t>
  </si>
  <si>
    <t>Tarivertrag 3</t>
  </si>
  <si>
    <t>Tarivertrag 4</t>
  </si>
  <si>
    <t>Bepunktung von 1 bis 100 Punkte</t>
  </si>
  <si>
    <t>Lösung:</t>
  </si>
  <si>
    <t>1. Beispiel (ab 50 Arbeitnehmern Mittlere Firma, ab 1000 Mitarbeitern Großfirma, Sonst Kleinfirma)</t>
  </si>
  <si>
    <t>Unternehmen</t>
  </si>
  <si>
    <t>Mitarbeiter</t>
  </si>
  <si>
    <t>Daimler AG</t>
  </si>
  <si>
    <t>Kohle OHG</t>
  </si>
  <si>
    <t>Midi AG</t>
  </si>
  <si>
    <t>Mini KG</t>
  </si>
  <si>
    <t>2. Beispiel (Kind bis unter 14, Jugendlich bis unter 18, ab 18 Erwachsen)</t>
  </si>
  <si>
    <t>Status</t>
  </si>
  <si>
    <t>3. Beispiel (Schulnoten verteilen nach Punkteschlüssel der IHK)</t>
  </si>
  <si>
    <t>Punkte</t>
  </si>
  <si>
    <t>IHK-Note</t>
  </si>
  <si>
    <t>4. Beispiel</t>
  </si>
  <si>
    <t>Artikel</t>
  </si>
  <si>
    <t>Apfelsaft</t>
  </si>
  <si>
    <t>Bier</t>
  </si>
  <si>
    <t>Karottensaft</t>
  </si>
  <si>
    <t>Sekt</t>
  </si>
  <si>
    <t>Wein</t>
  </si>
  <si>
    <t>Unternehmensart</t>
  </si>
  <si>
    <t>alkoholisch, alkoholfrei</t>
  </si>
  <si>
    <t>Großfirma</t>
  </si>
  <si>
    <t>Mittlere Firma</t>
  </si>
  <si>
    <t>Kleinfirma</t>
  </si>
  <si>
    <t>Kind</t>
  </si>
  <si>
    <t>Erwachsen</t>
  </si>
  <si>
    <t>Jugendlich</t>
  </si>
  <si>
    <t>alkoholfrei</t>
  </si>
  <si>
    <t>Hotel Ermäßigung</t>
  </si>
  <si>
    <t>Alter des Hotelgastes</t>
  </si>
  <si>
    <t>Berechnung der Ermäßigung</t>
  </si>
  <si>
    <t xml:space="preserve">
In einem Hotel zahlen Erwachsene den vollen Preis 
und Jugendliche erhalten 50 % Ermäßigung. 
In Spalte C soll jetzt nur noch ausgegeben werden 
"50 % Ermäßigung", die übrigen Zellen bleiben leer.</t>
  </si>
  <si>
    <t>Zahlenreihen vergleichen</t>
  </si>
  <si>
    <t>Wert1</t>
  </si>
  <si>
    <t>Wert2</t>
  </si>
  <si>
    <t>Funktion</t>
  </si>
  <si>
    <t>In dieser Aufgabe sollen zwei Spalten (Spalte A und B) miteinander verglichen werden. 
In Spalte C soll ausgegeben werden, welche Spalte den größeren Wert enthält. 
Sind beide Werte gleich, so soll Spalte A als größere Spalte ausgegeben werden.</t>
  </si>
  <si>
    <t>Skontoberechnung</t>
  </si>
  <si>
    <t xml:space="preserve">Wenn der Zahlungseingang innerhalb von 10 Tagen erfolgt, 
ist ein Skontosatz von 3 % abzuziehen.
 Wenn der Zahlungseingang länger als 20 Tage dauert, 
ist auf den Rechnungsbetrag eine Gebühr von 5 % aufzuschlagen.
Wenn der Zahlungseingang zwischen diesen Zeiträumen liegt 
bleibt der Rechnungsbetrag bestehen. </t>
  </si>
  <si>
    <t>Kunde</t>
  </si>
  <si>
    <t>Rechungs-
betrag</t>
  </si>
  <si>
    <t>Rechungs-
ausgang</t>
  </si>
  <si>
    <t>Zahlungs-
eingang</t>
  </si>
  <si>
    <t>Anzahl 
der Tage</t>
  </si>
  <si>
    <t>Skonto/Ver-
säumniszu-
schlag in €</t>
  </si>
  <si>
    <t>Korrigierter 
Rechungsbetrag</t>
  </si>
  <si>
    <t>FRESENIUS</t>
  </si>
  <si>
    <t>SAP</t>
  </si>
  <si>
    <t>ALLIANZ</t>
  </si>
  <si>
    <t>BMW</t>
  </si>
  <si>
    <t>DAIMLER</t>
  </si>
  <si>
    <t>VW</t>
  </si>
  <si>
    <t>Der Verkaufskurs liegt 30% über dem Kaufkurs!
In Spalte E sollen die Meldungen, kaufen, verkaufen und behalten erscheinen.</t>
  </si>
  <si>
    <t>BASF</t>
  </si>
  <si>
    <t>Meldung</t>
  </si>
  <si>
    <t>verkaufen bei</t>
  </si>
  <si>
    <t>kaufen bei</t>
  </si>
  <si>
    <t>aktueller Stand</t>
  </si>
  <si>
    <t>Analyse von Aktienwerten</t>
  </si>
  <si>
    <t>Seifert</t>
  </si>
  <si>
    <t>Böhler</t>
  </si>
  <si>
    <t>Kaiser</t>
  </si>
  <si>
    <t>Trebel</t>
  </si>
  <si>
    <t>Schmitt</t>
  </si>
  <si>
    <t>Maier</t>
  </si>
  <si>
    <t>Müller</t>
  </si>
  <si>
    <t>Provision in €</t>
  </si>
  <si>
    <t>Umsatz</t>
  </si>
  <si>
    <t>Provisionsberechnung</t>
  </si>
  <si>
    <t>Köhler</t>
  </si>
  <si>
    <t>Restbetrag</t>
  </si>
  <si>
    <t>Rabatt in €</t>
  </si>
  <si>
    <t>Rabattberechnung</t>
  </si>
  <si>
    <t>Auftrag 18</t>
  </si>
  <si>
    <t>Auftrag 17</t>
  </si>
  <si>
    <t>Auftrag 16</t>
  </si>
  <si>
    <t>Auftrag 15</t>
  </si>
  <si>
    <t>Auftrag 14</t>
  </si>
  <si>
    <t>Auftrag 13</t>
  </si>
  <si>
    <t>Auftrag 12</t>
  </si>
  <si>
    <t>Auftrag 11</t>
  </si>
  <si>
    <t>Auftrag 10</t>
  </si>
  <si>
    <t>Auftrag 9</t>
  </si>
  <si>
    <t>Auftrag 8</t>
  </si>
  <si>
    <t>Auftrag 7</t>
  </si>
  <si>
    <t>Auftrag 6</t>
  </si>
  <si>
    <t>Auftrag 5</t>
  </si>
  <si>
    <t>Auftrag 4</t>
  </si>
  <si>
    <t>Auftrag 3</t>
  </si>
  <si>
    <t>Auftrag 2</t>
  </si>
  <si>
    <t>Auftrag 1</t>
  </si>
  <si>
    <t>Fahrzeug</t>
  </si>
  <si>
    <t>Transportgewicht</t>
  </si>
  <si>
    <t>Auftrag</t>
  </si>
  <si>
    <t>Transportaufträge</t>
  </si>
  <si>
    <t>Mittelwert</t>
  </si>
  <si>
    <t>Julia</t>
  </si>
  <si>
    <t>Claudia</t>
  </si>
  <si>
    <t>Hoffmann</t>
  </si>
  <si>
    <t>Ulrich</t>
  </si>
  <si>
    <t>Feige</t>
  </si>
  <si>
    <t>Christoph</t>
  </si>
  <si>
    <t>Ernig</t>
  </si>
  <si>
    <t>Anne</t>
  </si>
  <si>
    <t>Dreher</t>
  </si>
  <si>
    <t>Sven</t>
  </si>
  <si>
    <t>Bunt</t>
  </si>
  <si>
    <t>Bewertung</t>
  </si>
  <si>
    <t>Größe</t>
  </si>
  <si>
    <t>Vorname</t>
  </si>
  <si>
    <t>Nachname</t>
  </si>
  <si>
    <t>Aufgaben</t>
  </si>
  <si>
    <t>Bearbeiten Sie die nachfolgenden Aufgaben!</t>
  </si>
  <si>
    <t>Auf der letzten Personalversammlung wurde über die Körpergröße der Belegschaftsmitglieder diskutiert.</t>
  </si>
  <si>
    <t xml:space="preserve">In der Personalabteilung sind momentan 6 Personen beschäftigt. </t>
  </si>
  <si>
    <t>Beurteilung</t>
  </si>
  <si>
    <t>Arbeitnehmer</t>
  </si>
  <si>
    <t>Gesamt</t>
  </si>
  <si>
    <t>Lager</t>
  </si>
  <si>
    <t>Verkauf</t>
  </si>
  <si>
    <t>Verwaltung</t>
  </si>
  <si>
    <t>Einkauf</t>
  </si>
  <si>
    <t xml:space="preserve">Meldung
</t>
  </si>
  <si>
    <t xml:space="preserve">Fehlquote
in %
</t>
  </si>
  <si>
    <t xml:space="preserve">Teilnehmer
</t>
  </si>
  <si>
    <t>Anteil an der
Gesamtbeleg-
schaft in %</t>
  </si>
  <si>
    <t xml:space="preserve">Belegschaft
</t>
  </si>
  <si>
    <t xml:space="preserve">Abteilung
</t>
  </si>
  <si>
    <t>Aufgabe</t>
  </si>
  <si>
    <t>Gesamt:</t>
  </si>
  <si>
    <t>Fröhlich</t>
  </si>
  <si>
    <t>Deimer</t>
  </si>
  <si>
    <t>Cäsar</t>
  </si>
  <si>
    <t>Blatter</t>
  </si>
  <si>
    <t>Prämie
 in €</t>
  </si>
  <si>
    <t>Prämie
 in %</t>
  </si>
  <si>
    <t>durchschn.
Umsatz</t>
  </si>
  <si>
    <t>4-Jahres-Umsatz</t>
  </si>
  <si>
    <t>Rechenbereich:</t>
  </si>
  <si>
    <t>Durchschnittliche
Lagerdauer (Tage)</t>
  </si>
  <si>
    <t>Umschlagshäufigkeit
(mal im Jahr)</t>
  </si>
  <si>
    <t>Dezember</t>
  </si>
  <si>
    <t>November</t>
  </si>
  <si>
    <t>Oktober</t>
  </si>
  <si>
    <t>September</t>
  </si>
  <si>
    <t>August</t>
  </si>
  <si>
    <t>Juli</t>
  </si>
  <si>
    <t>Juni</t>
  </si>
  <si>
    <t>Mai</t>
  </si>
  <si>
    <t>April</t>
  </si>
  <si>
    <t>März</t>
  </si>
  <si>
    <t>Februar</t>
  </si>
  <si>
    <t>Januar</t>
  </si>
  <si>
    <t>Anfangsbestand</t>
  </si>
  <si>
    <t>Meldebestand
erreicht?</t>
  </si>
  <si>
    <t>Bestand</t>
  </si>
  <si>
    <t>Abgänge</t>
  </si>
  <si>
    <t>Zugänge</t>
  </si>
  <si>
    <t>Tabelle 1:</t>
  </si>
  <si>
    <t>Stück</t>
  </si>
  <si>
    <t>Meldebestand</t>
  </si>
  <si>
    <t>Mindestbestand</t>
  </si>
  <si>
    <t>Hilfstabelle:</t>
  </si>
  <si>
    <t>Lagerbestandsübersicht</t>
  </si>
  <si>
    <t>Berechnen Sie die entsprechende Höhe der Provision in Prozent und in Euro.</t>
  </si>
  <si>
    <t>Umsatz unter 300.000,00 €:</t>
  </si>
  <si>
    <t>Umsatz bis 600.000,00 €:</t>
  </si>
  <si>
    <t>darüber:</t>
  </si>
  <si>
    <t>Provision in %</t>
  </si>
  <si>
    <t>Martin Maier</t>
  </si>
  <si>
    <t>Christian Schulz</t>
  </si>
  <si>
    <t>Gerda Engler</t>
  </si>
  <si>
    <t>Friedrich Wilz</t>
  </si>
  <si>
    <t>Frida Müller</t>
  </si>
  <si>
    <t>Ingrid Schnell</t>
  </si>
  <si>
    <t>Julia Fröhlich</t>
  </si>
  <si>
    <t>Manfred Fritz</t>
  </si>
  <si>
    <t>Unternehmen Molk</t>
  </si>
  <si>
    <t>Heinrich &amp; Söhne</t>
  </si>
  <si>
    <t>Schmitt GmbH</t>
  </si>
  <si>
    <t>Gesamtpreis
nach Rabatt</t>
  </si>
  <si>
    <t>Rabatt in Euro</t>
  </si>
  <si>
    <t>Gesamtpreis
vor Rabatt</t>
  </si>
  <si>
    <t>Verkaufsmenge</t>
  </si>
  <si>
    <t>ab</t>
  </si>
  <si>
    <t>unter</t>
  </si>
  <si>
    <t>bis</t>
  </si>
  <si>
    <t>Listenverkaufs-
preis pro Stück</t>
  </si>
  <si>
    <t>Rabatt-
staffelung</t>
  </si>
  <si>
    <t>Verkaufsmenge in Stück</t>
  </si>
  <si>
    <t>… im 3. Lehrjahr 1.500,00 Euro</t>
  </si>
  <si>
    <t>… im 2. Lehrjahr 1.100,00 Euro</t>
  </si>
  <si>
    <t>… im 1. Lehrjahr 750,00 Euro</t>
  </si>
  <si>
    <t>In diesem Unternehmen erhalten Azubis…</t>
  </si>
  <si>
    <t>Wie viel Euro verdienen die jeweiligen Auszubildenden? Verwenden Sie eine passende Funktion.</t>
  </si>
  <si>
    <t>Einstellungstest -AZUBIS 2018</t>
  </si>
  <si>
    <t>Formulierung von unten</t>
  </si>
  <si>
    <t>Formulierung von oben</t>
  </si>
  <si>
    <t>wenn Punktzahl &lt; 60</t>
  </si>
  <si>
    <t>Absage</t>
  </si>
  <si>
    <t>wenn Punktzahl &gt;= 90</t>
  </si>
  <si>
    <t>Zusage</t>
  </si>
  <si>
    <t>wenn Punktzahl &lt; 90</t>
  </si>
  <si>
    <t>erneutes Gespräch</t>
  </si>
  <si>
    <t>wenn Punktzahl &gt;= 60</t>
  </si>
  <si>
    <t>sonst</t>
  </si>
  <si>
    <t>Bewerber</t>
  </si>
  <si>
    <t>Punktzahl</t>
  </si>
  <si>
    <t>Ergebnis</t>
  </si>
  <si>
    <t>A</t>
  </si>
  <si>
    <t>B</t>
  </si>
  <si>
    <t>C</t>
  </si>
  <si>
    <t>D</t>
  </si>
  <si>
    <t>Ein Großhändler gewährt seinen Kunden Rabatte, die von der Umsatzhöhe abhängig sind. Bis 500,00 € kein Rabatt, bis 2.000,00 € 5%, bis 10.000,00 € 10% und darüber 20%. Umsatz abzüglich Rabatt ergibt den Restbetrag. Erstellen Sie die Formeln.</t>
  </si>
  <si>
    <t>Ein kleiner Spediteur hat 4 Fahrzeuge zur Verfügung. Einen Lieferwagen der bis 300 kg transportieren darf, einen VW-Bus, dessen Zuladung 1900 kg beträgt, einen 7,49 Tonner und einen LKW, der maximal 20 Tonnen aufladen darf. Ordnen Sie den Aufträgen das passende Fahrzeug zu.</t>
  </si>
  <si>
    <t>Anzahl</t>
  </si>
  <si>
    <t>kleinster Wert</t>
  </si>
  <si>
    <t>größter Wert</t>
  </si>
  <si>
    <t>Errechnen Sie den Mittelwert der sechs Personen, den kleinsten und größten Wert und die Anzahl! Nehmen Sie formelgesteuert eine Bewertung vor; wenn eine Person größer als der Durchschnitt ist soll die Bewertung lauten "über Durchschnitt"; wenn eine Person der Durchschnittsgröße entspricht lautet die Bewertung "Durchschnitt"; sonst nennen Sie die Bewertung "unter Durchschnitt"!</t>
  </si>
  <si>
    <t>Die Mitarbeiter einer Firma wurden nach der Zufriedenheit befragt.
1. Sortieren Sie die Tabelle aufsteigend nach der Nummerierung der Mitarbeiter.
2. Für die Auswertung der Punkte wurde folgendes Beurteilungsschema vorgegeben:</t>
  </si>
  <si>
    <t>20 - 15</t>
  </si>
  <si>
    <t>gut</t>
  </si>
  <si>
    <t>zufrieden</t>
  </si>
  <si>
    <t>14 - 12</t>
  </si>
  <si>
    <t>11 - 5</t>
  </si>
  <si>
    <t>schlecht</t>
  </si>
  <si>
    <t>Erstellen Sie eine Auswertung entsprechend nebenstehender Tabelle.</t>
  </si>
  <si>
    <t>Berechnen Sie den Anteil der Belegschaft an den einzelnen Abteilungen an der Gesamtbelegschaft in % ( 2 Nachkommastellen)! Berechnen Sie die Fehlquote der Abteilungen und der Gesamtbelegschaft in % (2 Nachkommastellen)! Sollte eine Abteilung eine Fehlquote über 15 % haben, soll die Meldung "Rücksprache" erfolgen!
Für die Schnellen: Erstellen Sie ein Diagramm, das die Anzahl der Belegschaft und die Anzahl der Teilnehmer anzeigt.</t>
  </si>
  <si>
    <t>Diagramm Lösung:</t>
  </si>
  <si>
    <t xml:space="preserve">Prämie von </t>
  </si>
  <si>
    <t>ab einem durchschnittlichen Umsatz von:</t>
  </si>
  <si>
    <t>Umsatzanteil 
in %</t>
  </si>
  <si>
    <t>Berechnen Sie die fehlenden Werte.</t>
  </si>
  <si>
    <t>= alle Lagerabgänge/durchschnittl. Lagerbestand</t>
  </si>
  <si>
    <t>Durchschnittlicher 
Lagerbestand:</t>
  </si>
  <si>
    <t>Tabelle 2 - Für die Schnellen:</t>
  </si>
  <si>
    <t>= 360/Umschlagshäufigkeit</t>
  </si>
  <si>
    <t>Berechnen Sie in Spalte D den Bestand am jeweiligen Monatsende. Wird der Meldebestand am Monatsende erreicht bzw. unterschritten, soll die Nachricht "Meldung" in der Spalte E erscheinen.</t>
  </si>
  <si>
    <t>kaufen</t>
  </si>
  <si>
    <t>verkaufen</t>
  </si>
  <si>
    <t>halten</t>
  </si>
  <si>
    <t>Wenn "aktueller Stand" kleiner gleich "kaufen bei" ist</t>
  </si>
  <si>
    <t>Wenn "verkufen bei" kleiner gleich "aktueller Stand" ist</t>
  </si>
  <si>
    <t>Wenn "aktueller Stand" zwischen kaufen und verkaufen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</si>
</sst>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&quot;DM&quot;_-;\-* #,##0\ &quot;DM&quot;_-;_-* &quot;-&quot;??\ &quot;DM&quot;_-;_-@_-"/>
    <numFmt numFmtId="166" formatCode="_-* #,##0.00\ [$€-407]_-;\-* #,##0.00\ [$€-407]_-;_-* &quot;-&quot;??\ [$€-407]_-;_-@_-"/>
    <numFmt numFmtId="167" formatCode="#,##0_ ;\-#,##0\ "/>
    <numFmt numFmtId="168" formatCode="0####"/>
    <numFmt numFmtId="169" formatCode="_-* #,##0.00\ &quot;DM&quot;_-;\-* #,##0.00\ &quot;DM&quot;_-;_-* &quot;-&quot;??\ &quot;DM&quot;_-;_-@_-"/>
  </numFmts>
  <fonts count="3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Verdana"/>
      <family val="2"/>
    </font>
    <font>
      <u/>
      <sz val="10"/>
      <name val="Verdana"/>
      <family val="2"/>
    </font>
    <font>
      <sz val="6.25"/>
      <color indexed="23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Tahoma"/>
      <family val="2"/>
    </font>
    <font>
      <b/>
      <u/>
      <sz val="12"/>
      <name val="Tahoma"/>
      <family val="2"/>
    </font>
    <font>
      <sz val="12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name val="Arial"/>
      <family val="2"/>
    </font>
    <font>
      <sz val="14"/>
      <name val="Tahoma"/>
      <family val="2"/>
    </font>
    <font>
      <b/>
      <sz val="16"/>
      <color theme="1"/>
      <name val="Tahoma"/>
      <family val="2"/>
    </font>
    <font>
      <b/>
      <sz val="14"/>
      <name val="Tahoma"/>
      <family val="2"/>
    </font>
    <font>
      <sz val="11"/>
      <name val="Times New Roman"/>
      <family val="1"/>
    </font>
    <font>
      <i/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13">
    <xf numFmtId="0" fontId="0" fillId="0" borderId="0"/>
    <xf numFmtId="165" fontId="2" fillId="0" borderId="0"/>
    <xf numFmtId="44" fontId="4" fillId="0" borderId="0" applyFill="0" applyBorder="0" applyAlignment="0" applyProtection="0"/>
    <xf numFmtId="0" fontId="9" fillId="0" borderId="0"/>
    <xf numFmtId="0" fontId="4" fillId="0" borderId="0"/>
    <xf numFmtId="44" fontId="2" fillId="0" borderId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307">
    <xf numFmtId="0" fontId="0" fillId="0" borderId="0" xfId="0"/>
    <xf numFmtId="0" fontId="0" fillId="2" borderId="0" xfId="0" applyFill="1"/>
    <xf numFmtId="0" fontId="0" fillId="2" borderId="0" xfId="0" applyFill="1" applyBorder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5" fillId="2" borderId="0" xfId="0" applyFont="1" applyFill="1" applyBorder="1"/>
    <xf numFmtId="0" fontId="10" fillId="2" borderId="0" xfId="0" applyFont="1" applyFill="1"/>
    <xf numFmtId="0" fontId="12" fillId="2" borderId="0" xfId="0" applyFont="1" applyFill="1" applyBorder="1"/>
    <xf numFmtId="0" fontId="10" fillId="4" borderId="1" xfId="0" applyFont="1" applyFill="1" applyBorder="1"/>
    <xf numFmtId="0" fontId="12" fillId="2" borderId="1" xfId="0" applyFont="1" applyFill="1" applyBorder="1" applyAlignment="1">
      <alignment wrapText="1"/>
    </xf>
    <xf numFmtId="0" fontId="12" fillId="2" borderId="0" xfId="0" applyFont="1" applyFill="1"/>
    <xf numFmtId="0" fontId="10" fillId="4" borderId="1" xfId="0" applyFont="1" applyFill="1" applyBorder="1" applyAlignment="1">
      <alignment horizontal="center" wrapText="1"/>
    </xf>
    <xf numFmtId="0" fontId="12" fillId="3" borderId="1" xfId="0" applyFont="1" applyFill="1" applyBorder="1"/>
    <xf numFmtId="0" fontId="10" fillId="2" borderId="0" xfId="0" applyFont="1" applyFill="1" applyBorder="1"/>
    <xf numFmtId="0" fontId="12" fillId="2" borderId="1" xfId="0" applyFont="1" applyFill="1" applyBorder="1" applyAlignment="1">
      <alignment horizontal="center" wrapText="1"/>
    </xf>
    <xf numFmtId="0" fontId="13" fillId="2" borderId="0" xfId="0" applyFont="1" applyFill="1"/>
    <xf numFmtId="0" fontId="14" fillId="2" borderId="0" xfId="0" applyFont="1" applyFill="1"/>
    <xf numFmtId="0" fontId="10" fillId="2" borderId="0" xfId="0" applyFont="1" applyFill="1" applyAlignment="1">
      <alignment vertical="top"/>
    </xf>
    <xf numFmtId="0" fontId="12" fillId="2" borderId="2" xfId="0" applyFont="1" applyFill="1" applyBorder="1" applyAlignment="1">
      <alignment vertical="top" wrapText="1"/>
    </xf>
    <xf numFmtId="0" fontId="12" fillId="3" borderId="3" xfId="0" applyFont="1" applyFill="1" applyBorder="1" applyAlignment="1">
      <alignment horizontal="center" vertical="top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wrapText="1"/>
    </xf>
    <xf numFmtId="0" fontId="11" fillId="2" borderId="0" xfId="0" applyFont="1" applyFill="1"/>
    <xf numFmtId="0" fontId="12" fillId="2" borderId="0" xfId="0" applyFont="1" applyFill="1" applyAlignment="1">
      <alignment horizontal="center"/>
    </xf>
    <xf numFmtId="0" fontId="10" fillId="4" borderId="4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2" fillId="2" borderId="1" xfId="0" applyFont="1" applyFill="1" applyBorder="1"/>
    <xf numFmtId="0" fontId="1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/>
    <xf numFmtId="0" fontId="12" fillId="0" borderId="1" xfId="0" applyFont="1" applyBorder="1"/>
    <xf numFmtId="0" fontId="12" fillId="0" borderId="0" xfId="0" applyFont="1" applyBorder="1"/>
    <xf numFmtId="0" fontId="12" fillId="0" borderId="0" xfId="0" quotePrefix="1" applyFont="1" applyBorder="1"/>
    <xf numFmtId="0" fontId="10" fillId="6" borderId="0" xfId="0" applyFont="1" applyFill="1"/>
    <xf numFmtId="0" fontId="10" fillId="6" borderId="1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2" fillId="7" borderId="0" xfId="0" applyFont="1" applyFill="1"/>
    <xf numFmtId="0" fontId="10" fillId="0" borderId="0" xfId="0" applyFont="1"/>
    <xf numFmtId="0" fontId="8" fillId="0" borderId="0" xfId="0" applyFont="1"/>
    <xf numFmtId="0" fontId="10" fillId="8" borderId="1" xfId="0" applyFont="1" applyFill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2" fillId="9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15" fillId="0" borderId="0" xfId="0" applyFont="1"/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/>
    <xf numFmtId="0" fontId="16" fillId="0" borderId="0" xfId="0" applyFont="1"/>
    <xf numFmtId="0" fontId="9" fillId="0" borderId="0" xfId="0" applyFont="1"/>
    <xf numFmtId="0" fontId="12" fillId="11" borderId="1" xfId="0" applyFont="1" applyFill="1" applyBorder="1"/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17" fillId="0" borderId="0" xfId="0" applyFont="1"/>
    <xf numFmtId="14" fontId="12" fillId="0" borderId="0" xfId="0" applyNumberFormat="1" applyFont="1"/>
    <xf numFmtId="0" fontId="12" fillId="12" borderId="11" xfId="0" applyFont="1" applyFill="1" applyBorder="1"/>
    <xf numFmtId="44" fontId="12" fillId="12" borderId="12" xfId="2" applyFont="1" applyFill="1" applyBorder="1"/>
    <xf numFmtId="44" fontId="12" fillId="12" borderId="12" xfId="0" applyNumberFormat="1" applyFont="1" applyFill="1" applyBorder="1"/>
    <xf numFmtId="0" fontId="12" fillId="0" borderId="13" xfId="0" applyFont="1" applyBorder="1"/>
    <xf numFmtId="14" fontId="12" fillId="0" borderId="14" xfId="0" applyNumberFormat="1" applyFont="1" applyBorder="1"/>
    <xf numFmtId="0" fontId="12" fillId="0" borderId="15" xfId="0" applyFont="1" applyBorder="1"/>
    <xf numFmtId="0" fontId="12" fillId="0" borderId="0" xfId="0" applyFont="1" applyAlignment="1">
      <alignment vertical="top"/>
    </xf>
    <xf numFmtId="0" fontId="12" fillId="0" borderId="16" xfId="0" applyFont="1" applyBorder="1"/>
    <xf numFmtId="0" fontId="18" fillId="0" borderId="0" xfId="0" applyFont="1"/>
    <xf numFmtId="166" fontId="12" fillId="0" borderId="0" xfId="0" applyNumberFormat="1" applyFont="1"/>
    <xf numFmtId="44" fontId="12" fillId="0" borderId="0" xfId="2" applyFont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166" fontId="12" fillId="13" borderId="0" xfId="0" applyNumberFormat="1" applyFont="1" applyFill="1"/>
    <xf numFmtId="0" fontId="12" fillId="13" borderId="0" xfId="0" applyFont="1" applyFill="1" applyAlignment="1">
      <alignment horizontal="center"/>
    </xf>
    <xf numFmtId="44" fontId="12" fillId="0" borderId="0" xfId="9" applyFont="1"/>
    <xf numFmtId="0" fontId="10" fillId="17" borderId="0" xfId="0" applyFont="1" applyFill="1"/>
    <xf numFmtId="167" fontId="12" fillId="0" borderId="0" xfId="9" applyNumberFormat="1" applyFont="1"/>
    <xf numFmtId="0" fontId="9" fillId="0" borderId="0" xfId="0" applyFont="1" applyAlignment="1"/>
    <xf numFmtId="0" fontId="20" fillId="0" borderId="0" xfId="0" applyFont="1" applyAlignment="1"/>
    <xf numFmtId="0" fontId="21" fillId="0" borderId="0" xfId="0" applyFont="1"/>
    <xf numFmtId="0" fontId="12" fillId="0" borderId="0" xfId="0" applyFont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left"/>
    </xf>
    <xf numFmtId="0" fontId="12" fillId="0" borderId="22" xfId="0" applyFont="1" applyFill="1" applyBorder="1" applyAlignment="1">
      <alignment horizontal="left"/>
    </xf>
    <xf numFmtId="0" fontId="12" fillId="0" borderId="8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12" fillId="0" borderId="24" xfId="0" applyFont="1" applyFill="1" applyBorder="1" applyAlignment="1">
      <alignment horizontal="left"/>
    </xf>
    <xf numFmtId="2" fontId="12" fillId="0" borderId="8" xfId="0" applyNumberFormat="1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left"/>
    </xf>
    <xf numFmtId="0" fontId="12" fillId="0" borderId="28" xfId="0" applyFont="1" applyFill="1" applyBorder="1" applyAlignment="1">
      <alignment horizontal="left"/>
    </xf>
    <xf numFmtId="0" fontId="12" fillId="0" borderId="29" xfId="0" applyFont="1" applyFill="1" applyBorder="1"/>
    <xf numFmtId="0" fontId="12" fillId="0" borderId="30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left"/>
    </xf>
    <xf numFmtId="0" fontId="12" fillId="0" borderId="32" xfId="0" applyFont="1" applyFill="1" applyBorder="1" applyAlignment="1">
      <alignment horizontal="left"/>
    </xf>
    <xf numFmtId="0" fontId="12" fillId="0" borderId="33" xfId="0" applyFont="1" applyBorder="1"/>
    <xf numFmtId="0" fontId="12" fillId="0" borderId="3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 applyFill="1" applyAlignment="1">
      <alignment horizontal="left"/>
    </xf>
    <xf numFmtId="0" fontId="10" fillId="19" borderId="0" xfId="0" applyFont="1" applyFill="1" applyAlignment="1">
      <alignment horizontal="left"/>
    </xf>
    <xf numFmtId="0" fontId="12" fillId="0" borderId="0" xfId="0" applyFont="1" applyBorder="1" applyAlignment="1">
      <alignment horizontal="left"/>
    </xf>
    <xf numFmtId="168" fontId="12" fillId="0" borderId="0" xfId="0" applyNumberFormat="1" applyFont="1" applyBorder="1" applyAlignment="1">
      <alignment horizontal="left"/>
    </xf>
    <xf numFmtId="0" fontId="10" fillId="0" borderId="0" xfId="0" applyFont="1" applyBorder="1"/>
    <xf numFmtId="0" fontId="12" fillId="18" borderId="34" xfId="0" applyFont="1" applyFill="1" applyBorder="1"/>
    <xf numFmtId="0" fontId="12" fillId="18" borderId="18" xfId="0" applyFont="1" applyFill="1" applyBorder="1"/>
    <xf numFmtId="0" fontId="12" fillId="0" borderId="19" xfId="0" applyFont="1" applyBorder="1"/>
    <xf numFmtId="0" fontId="12" fillId="0" borderId="27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2" xfId="0" applyFont="1" applyBorder="1"/>
    <xf numFmtId="0" fontId="12" fillId="0" borderId="37" xfId="0" applyFont="1" applyBorder="1" applyAlignment="1">
      <alignment horizontal="center"/>
    </xf>
    <xf numFmtId="0" fontId="12" fillId="0" borderId="24" xfId="0" applyFont="1" applyBorder="1"/>
    <xf numFmtId="0" fontId="12" fillId="0" borderId="28" xfId="0" applyFont="1" applyBorder="1"/>
    <xf numFmtId="0" fontId="12" fillId="0" borderId="29" xfId="0" applyFont="1" applyBorder="1" applyAlignment="1">
      <alignment horizontal="center" vertical="top" wrapText="1"/>
    </xf>
    <xf numFmtId="0" fontId="12" fillId="0" borderId="31" xfId="0" applyFont="1" applyBorder="1" applyAlignment="1">
      <alignment horizontal="center" vertical="top" wrapText="1"/>
    </xf>
    <xf numFmtId="0" fontId="12" fillId="0" borderId="31" xfId="0" applyFont="1" applyBorder="1" applyAlignment="1">
      <alignment vertical="top" wrapText="1"/>
    </xf>
    <xf numFmtId="0" fontId="12" fillId="0" borderId="38" xfId="0" applyFont="1" applyBorder="1" applyAlignment="1">
      <alignment horizontal="center" vertical="top" wrapText="1"/>
    </xf>
    <xf numFmtId="0" fontId="12" fillId="0" borderId="32" xfId="0" applyFont="1" applyBorder="1" applyAlignment="1">
      <alignment vertical="top" wrapText="1"/>
    </xf>
    <xf numFmtId="0" fontId="12" fillId="19" borderId="0" xfId="0" applyFont="1" applyFill="1"/>
    <xf numFmtId="0" fontId="20" fillId="19" borderId="0" xfId="0" applyFont="1" applyFill="1"/>
    <xf numFmtId="0" fontId="22" fillId="0" borderId="0" xfId="0" applyFont="1"/>
    <xf numFmtId="0" fontId="23" fillId="0" borderId="0" xfId="0" applyFont="1"/>
    <xf numFmtId="44" fontId="23" fillId="0" borderId="0" xfId="7" applyFont="1"/>
    <xf numFmtId="10" fontId="23" fillId="17" borderId="17" xfId="0" applyNumberFormat="1" applyFont="1" applyFill="1" applyBorder="1"/>
    <xf numFmtId="0" fontId="23" fillId="17" borderId="18" xfId="0" applyFont="1" applyFill="1" applyBorder="1"/>
    <xf numFmtId="0" fontId="24" fillId="0" borderId="19" xfId="0" applyFont="1" applyBorder="1"/>
    <xf numFmtId="44" fontId="23" fillId="0" borderId="41" xfId="9" applyFont="1" applyBorder="1"/>
    <xf numFmtId="44" fontId="23" fillId="0" borderId="42" xfId="9" applyFont="1" applyBorder="1"/>
    <xf numFmtId="44" fontId="23" fillId="0" borderId="43" xfId="9" applyFont="1" applyBorder="1"/>
    <xf numFmtId="0" fontId="24" fillId="0" borderId="44" xfId="9" applyNumberFormat="1" applyFont="1" applyBorder="1" applyAlignment="1">
      <alignment horizontal="left"/>
    </xf>
    <xf numFmtId="44" fontId="23" fillId="0" borderId="23" xfId="9" applyFont="1" applyBorder="1"/>
    <xf numFmtId="44" fontId="23" fillId="0" borderId="1" xfId="9" applyFont="1" applyBorder="1"/>
    <xf numFmtId="44" fontId="23" fillId="0" borderId="45" xfId="9" applyFont="1" applyBorder="1"/>
    <xf numFmtId="44" fontId="23" fillId="0" borderId="25" xfId="9" applyFont="1" applyBorder="1"/>
    <xf numFmtId="44" fontId="23" fillId="0" borderId="27" xfId="9" applyFont="1" applyBorder="1"/>
    <xf numFmtId="44" fontId="23" fillId="0" borderId="37" xfId="9" applyFont="1" applyBorder="1"/>
    <xf numFmtId="0" fontId="24" fillId="0" borderId="46" xfId="0" applyFont="1" applyBorder="1" applyAlignment="1">
      <alignment horizontal="center" wrapText="1"/>
    </xf>
    <xf numFmtId="0" fontId="24" fillId="0" borderId="47" xfId="0" applyFont="1" applyBorder="1" applyAlignment="1">
      <alignment horizontal="center" wrapText="1"/>
    </xf>
    <xf numFmtId="0" fontId="24" fillId="0" borderId="47" xfId="0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4" fillId="0" borderId="38" xfId="0" applyFont="1" applyBorder="1" applyAlignment="1">
      <alignment horizontal="center"/>
    </xf>
    <xf numFmtId="0" fontId="23" fillId="17" borderId="48" xfId="0" applyFont="1" applyFill="1" applyBorder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left"/>
    </xf>
    <xf numFmtId="9" fontId="28" fillId="21" borderId="1" xfId="0" applyNumberFormat="1" applyFont="1" applyFill="1" applyBorder="1" applyAlignment="1">
      <alignment horizontal="left"/>
    </xf>
    <xf numFmtId="0" fontId="28" fillId="21" borderId="1" xfId="0" applyFont="1" applyFill="1" applyBorder="1"/>
    <xf numFmtId="0" fontId="28" fillId="0" borderId="0" xfId="0" applyFont="1"/>
    <xf numFmtId="0" fontId="27" fillId="0" borderId="0" xfId="0" applyFont="1" applyBorder="1"/>
    <xf numFmtId="0" fontId="29" fillId="7" borderId="1" xfId="0" applyFont="1" applyFill="1" applyBorder="1" applyAlignment="1">
      <alignment horizontal="left"/>
    </xf>
    <xf numFmtId="44" fontId="27" fillId="0" borderId="1" xfId="7" applyFont="1" applyBorder="1"/>
    <xf numFmtId="44" fontId="27" fillId="0" borderId="0" xfId="7" applyFont="1"/>
    <xf numFmtId="44" fontId="28" fillId="0" borderId="0" xfId="7" applyFont="1" applyAlignment="1">
      <alignment horizontal="center" vertical="top"/>
    </xf>
    <xf numFmtId="44" fontId="28" fillId="0" borderId="0" xfId="7" applyFont="1"/>
    <xf numFmtId="0" fontId="27" fillId="0" borderId="0" xfId="11" applyFont="1"/>
    <xf numFmtId="0" fontId="28" fillId="0" borderId="0" xfId="11" applyFont="1"/>
    <xf numFmtId="0" fontId="27" fillId="0" borderId="1" xfId="11" applyFont="1" applyBorder="1"/>
    <xf numFmtId="0" fontId="28" fillId="0" borderId="1" xfId="11" applyFont="1" applyBorder="1"/>
    <xf numFmtId="9" fontId="27" fillId="0" borderId="0" xfId="11" applyNumberFormat="1" applyFont="1"/>
    <xf numFmtId="9" fontId="27" fillId="21" borderId="1" xfId="11" applyNumberFormat="1" applyFont="1" applyFill="1" applyBorder="1"/>
    <xf numFmtId="0" fontId="27" fillId="21" borderId="1" xfId="11" applyFont="1" applyFill="1" applyBorder="1"/>
    <xf numFmtId="0" fontId="28" fillId="21" borderId="1" xfId="11" applyFont="1" applyFill="1" applyBorder="1"/>
    <xf numFmtId="44" fontId="27" fillId="21" borderId="1" xfId="12" applyFont="1" applyFill="1" applyBorder="1"/>
    <xf numFmtId="0" fontId="26" fillId="0" borderId="0" xfId="11" applyFont="1"/>
    <xf numFmtId="0" fontId="29" fillId="7" borderId="1" xfId="11" applyFont="1" applyFill="1" applyBorder="1" applyAlignment="1">
      <alignment horizontal="center" vertical="top" wrapText="1"/>
    </xf>
    <xf numFmtId="0" fontId="29" fillId="2" borderId="1" xfId="11" applyFont="1" applyFill="1" applyBorder="1" applyAlignment="1">
      <alignment vertical="top" wrapText="1"/>
    </xf>
    <xf numFmtId="0" fontId="30" fillId="21" borderId="1" xfId="11" applyFont="1" applyFill="1" applyBorder="1" applyAlignment="1">
      <alignment horizontal="center" vertical="center" wrapText="1"/>
    </xf>
    <xf numFmtId="44" fontId="28" fillId="15" borderId="1" xfId="12" applyFont="1" applyFill="1" applyBorder="1"/>
    <xf numFmtId="44" fontId="27" fillId="15" borderId="1" xfId="12" applyFont="1" applyFill="1" applyBorder="1"/>
    <xf numFmtId="44" fontId="27" fillId="15" borderId="1" xfId="0" applyNumberFormat="1" applyFont="1" applyFill="1" applyBorder="1"/>
    <xf numFmtId="0" fontId="0" fillId="8" borderId="1" xfId="0" applyFill="1" applyBorder="1" applyAlignment="1"/>
    <xf numFmtId="0" fontId="0" fillId="8" borderId="1" xfId="0" applyFill="1" applyBorder="1"/>
    <xf numFmtId="0" fontId="0" fillId="0" borderId="0" xfId="0" applyBorder="1"/>
    <xf numFmtId="0" fontId="2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44" fontId="12" fillId="15" borderId="0" xfId="7" applyFont="1" applyFill="1"/>
    <xf numFmtId="44" fontId="12" fillId="15" borderId="0" xfId="0" applyNumberFormat="1" applyFont="1" applyFill="1"/>
    <xf numFmtId="0" fontId="12" fillId="15" borderId="0" xfId="0" applyFont="1" applyFill="1"/>
    <xf numFmtId="0" fontId="12" fillId="15" borderId="25" xfId="0" applyFont="1" applyFill="1" applyBorder="1"/>
    <xf numFmtId="2" fontId="12" fillId="15" borderId="74" xfId="0" applyNumberFormat="1" applyFont="1" applyFill="1" applyBorder="1" applyAlignment="1">
      <alignment horizontal="center"/>
    </xf>
    <xf numFmtId="0" fontId="12" fillId="15" borderId="75" xfId="0" applyFont="1" applyFill="1" applyBorder="1" applyAlignment="1">
      <alignment horizontal="center"/>
    </xf>
    <xf numFmtId="0" fontId="12" fillId="15" borderId="78" xfId="0" applyFont="1" applyFill="1" applyBorder="1" applyAlignment="1">
      <alignment horizontal="center"/>
    </xf>
    <xf numFmtId="0" fontId="10" fillId="15" borderId="0" xfId="0" applyFont="1" applyFill="1" applyBorder="1"/>
    <xf numFmtId="0" fontId="12" fillId="0" borderId="0" xfId="0" applyFont="1" applyBorder="1" applyAlignment="1">
      <alignment wrapText="1"/>
    </xf>
    <xf numFmtId="0" fontId="12" fillId="0" borderId="73" xfId="0" applyFont="1" applyBorder="1" applyAlignment="1">
      <alignment wrapText="1"/>
    </xf>
    <xf numFmtId="0" fontId="12" fillId="0" borderId="74" xfId="0" applyFont="1" applyBorder="1" applyAlignment="1">
      <alignment wrapText="1"/>
    </xf>
    <xf numFmtId="0" fontId="0" fillId="0" borderId="45" xfId="0" applyBorder="1"/>
    <xf numFmtId="0" fontId="0" fillId="0" borderId="75" xfId="0" applyBorder="1"/>
    <xf numFmtId="0" fontId="0" fillId="0" borderId="45" xfId="0" quotePrefix="1" applyBorder="1"/>
    <xf numFmtId="0" fontId="0" fillId="0" borderId="76" xfId="0" quotePrefix="1" applyBorder="1"/>
    <xf numFmtId="0" fontId="0" fillId="0" borderId="78" xfId="0" applyBorder="1"/>
    <xf numFmtId="0" fontId="12" fillId="0" borderId="79" xfId="0" applyFont="1" applyBorder="1" applyAlignment="1">
      <alignment wrapText="1"/>
    </xf>
    <xf numFmtId="0" fontId="12" fillId="15" borderId="35" xfId="0" applyFont="1" applyFill="1" applyBorder="1" applyAlignment="1">
      <alignment horizontal="center"/>
    </xf>
    <xf numFmtId="10" fontId="12" fillId="15" borderId="27" xfId="8" applyNumberFormat="1" applyFont="1" applyFill="1" applyBorder="1"/>
    <xf numFmtId="0" fontId="17" fillId="0" borderId="0" xfId="0" applyFont="1" applyAlignment="1">
      <alignment wrapText="1"/>
    </xf>
    <xf numFmtId="44" fontId="23" fillId="15" borderId="35" xfId="9" applyFont="1" applyFill="1" applyBorder="1"/>
    <xf numFmtId="44" fontId="23" fillId="15" borderId="39" xfId="9" applyFont="1" applyFill="1" applyBorder="1"/>
    <xf numFmtId="9" fontId="23" fillId="15" borderId="39" xfId="8" applyFont="1" applyFill="1" applyBorder="1" applyAlignment="1">
      <alignment horizontal="center"/>
    </xf>
    <xf numFmtId="10" fontId="23" fillId="15" borderId="40" xfId="8" applyNumberFormat="1" applyFont="1" applyFill="1" applyBorder="1"/>
    <xf numFmtId="44" fontId="23" fillId="15" borderId="39" xfId="9" applyNumberFormat="1" applyFont="1" applyFill="1" applyBorder="1"/>
    <xf numFmtId="0" fontId="9" fillId="6" borderId="81" xfId="0" applyFont="1" applyFill="1" applyBorder="1" applyAlignment="1">
      <alignment horizontal="right"/>
    </xf>
    <xf numFmtId="9" fontId="0" fillId="0" borderId="81" xfId="0" applyNumberFormat="1" applyFont="1" applyBorder="1" applyAlignment="1">
      <alignment horizontal="center"/>
    </xf>
    <xf numFmtId="164" fontId="0" fillId="0" borderId="5" xfId="6" applyFont="1" applyBorder="1"/>
    <xf numFmtId="0" fontId="17" fillId="0" borderId="69" xfId="0" applyFont="1" applyBorder="1"/>
    <xf numFmtId="0" fontId="17" fillId="0" borderId="66" xfId="0" applyFont="1" applyBorder="1"/>
    <xf numFmtId="0" fontId="17" fillId="0" borderId="0" xfId="0" applyFont="1" applyBorder="1"/>
    <xf numFmtId="0" fontId="17" fillId="0" borderId="61" xfId="0" applyFont="1" applyBorder="1" applyAlignment="1">
      <alignment horizontal="left" wrapText="1"/>
    </xf>
    <xf numFmtId="3" fontId="17" fillId="20" borderId="60" xfId="0" applyNumberFormat="1" applyFont="1" applyFill="1" applyBorder="1" applyAlignment="1">
      <alignment wrapText="1"/>
    </xf>
    <xf numFmtId="3" fontId="17" fillId="20" borderId="59" xfId="0" applyNumberFormat="1" applyFont="1" applyFill="1" applyBorder="1" applyAlignment="1">
      <alignment wrapText="1"/>
    </xf>
    <xf numFmtId="3" fontId="17" fillId="0" borderId="59" xfId="7" applyNumberFormat="1" applyFont="1" applyBorder="1" applyAlignment="1">
      <alignment wrapText="1"/>
    </xf>
    <xf numFmtId="0" fontId="17" fillId="0" borderId="57" xfId="0" applyFont="1" applyBorder="1" applyAlignment="1">
      <alignment horizontal="left" wrapText="1"/>
    </xf>
    <xf numFmtId="3" fontId="17" fillId="0" borderId="56" xfId="0" applyNumberFormat="1" applyFont="1" applyBorder="1" applyAlignment="1">
      <alignment wrapText="1"/>
    </xf>
    <xf numFmtId="3" fontId="17" fillId="0" borderId="55" xfId="0" applyNumberFormat="1" applyFont="1" applyBorder="1" applyAlignment="1">
      <alignment wrapText="1"/>
    </xf>
    <xf numFmtId="0" fontId="17" fillId="0" borderId="52" xfId="0" applyFont="1" applyBorder="1" applyAlignment="1">
      <alignment horizontal="left" wrapText="1"/>
    </xf>
    <xf numFmtId="3" fontId="17" fillId="0" borderId="8" xfId="0" applyNumberFormat="1" applyFont="1" applyBorder="1" applyAlignment="1">
      <alignment wrapText="1"/>
    </xf>
    <xf numFmtId="3" fontId="17" fillId="0" borderId="1" xfId="0" applyNumberFormat="1" applyFont="1" applyBorder="1" applyAlignment="1">
      <alignment wrapText="1"/>
    </xf>
    <xf numFmtId="0" fontId="17" fillId="0" borderId="50" xfId="0" applyFont="1" applyBorder="1" applyAlignment="1">
      <alignment horizontal="left" wrapText="1"/>
    </xf>
    <xf numFmtId="3" fontId="17" fillId="0" borderId="54" xfId="0" applyNumberFormat="1" applyFont="1" applyBorder="1" applyAlignment="1">
      <alignment wrapText="1"/>
    </xf>
    <xf numFmtId="3" fontId="17" fillId="0" borderId="42" xfId="0" applyNumberFormat="1" applyFont="1" applyBorder="1" applyAlignment="1">
      <alignment wrapText="1"/>
    </xf>
    <xf numFmtId="10" fontId="17" fillId="0" borderId="0" xfId="0" applyNumberFormat="1" applyFont="1"/>
    <xf numFmtId="0" fontId="33" fillId="0" borderId="0" xfId="0" applyFont="1"/>
    <xf numFmtId="0" fontId="33" fillId="6" borderId="0" xfId="0" applyFont="1" applyFill="1"/>
    <xf numFmtId="3" fontId="17" fillId="0" borderId="68" xfId="0" applyNumberFormat="1" applyFont="1" applyBorder="1"/>
    <xf numFmtId="0" fontId="17" fillId="0" borderId="67" xfId="0" applyFont="1" applyBorder="1"/>
    <xf numFmtId="3" fontId="17" fillId="0" borderId="65" xfId="0" applyNumberFormat="1" applyFont="1" applyBorder="1"/>
    <xf numFmtId="0" fontId="17" fillId="0" borderId="64" xfId="0" applyFont="1" applyBorder="1"/>
    <xf numFmtId="3" fontId="17" fillId="0" borderId="0" xfId="0" applyNumberFormat="1" applyFont="1" applyBorder="1"/>
    <xf numFmtId="0" fontId="33" fillId="6" borderId="0" xfId="0" applyFont="1" applyFill="1" applyBorder="1"/>
    <xf numFmtId="0" fontId="17" fillId="20" borderId="63" xfId="0" applyFont="1" applyFill="1" applyBorder="1" applyAlignment="1">
      <alignment horizontal="center" wrapText="1"/>
    </xf>
    <xf numFmtId="1" fontId="33" fillId="4" borderId="62" xfId="0" applyNumberFormat="1" applyFont="1" applyFill="1" applyBorder="1" applyAlignment="1">
      <alignment horizontal="center" wrapText="1"/>
    </xf>
    <xf numFmtId="0" fontId="33" fillId="4" borderId="47" xfId="0" applyFont="1" applyFill="1" applyBorder="1" applyAlignment="1">
      <alignment horizontal="center" wrapText="1"/>
    </xf>
    <xf numFmtId="0" fontId="33" fillId="4" borderId="46" xfId="0" applyFont="1" applyFill="1" applyBorder="1" applyAlignment="1">
      <alignment horizontal="center" wrapText="1"/>
    </xf>
    <xf numFmtId="0" fontId="17" fillId="20" borderId="58" xfId="0" applyFont="1" applyFill="1" applyBorder="1" applyAlignment="1">
      <alignment horizontal="center"/>
    </xf>
    <xf numFmtId="1" fontId="33" fillId="0" borderId="0" xfId="0" applyNumberFormat="1" applyFont="1" applyFill="1" applyBorder="1" applyAlignment="1">
      <alignment wrapText="1"/>
    </xf>
    <xf numFmtId="0" fontId="17" fillId="0" borderId="0" xfId="0" applyFont="1" applyFill="1" applyBorder="1"/>
    <xf numFmtId="0" fontId="33" fillId="0" borderId="0" xfId="0" applyFont="1" applyAlignment="1">
      <alignment wrapText="1"/>
    </xf>
    <xf numFmtId="169" fontId="17" fillId="0" borderId="52" xfId="0" applyNumberFormat="1" applyFont="1" applyFill="1" applyBorder="1" applyAlignment="1">
      <alignment horizontal="center" vertical="top" wrapText="1"/>
    </xf>
    <xf numFmtId="169" fontId="17" fillId="0" borderId="50" xfId="0" applyNumberFormat="1" applyFont="1" applyFill="1" applyBorder="1" applyAlignment="1">
      <alignment horizontal="center" vertical="top" wrapText="1"/>
    </xf>
    <xf numFmtId="0" fontId="33" fillId="0" borderId="0" xfId="0" applyFont="1" applyFill="1" applyBorder="1" applyAlignment="1">
      <alignment horizontal="centerContinuous"/>
    </xf>
    <xf numFmtId="10" fontId="33" fillId="0" borderId="0" xfId="0" applyNumberFormat="1" applyFont="1" applyFill="1" applyBorder="1" applyAlignment="1">
      <alignment horizontal="centerContinuous"/>
    </xf>
    <xf numFmtId="3" fontId="17" fillId="15" borderId="55" xfId="7" applyNumberFormat="1" applyFont="1" applyFill="1" applyBorder="1" applyAlignment="1">
      <alignment wrapText="1"/>
    </xf>
    <xf numFmtId="0" fontId="17" fillId="15" borderId="23" xfId="0" applyFont="1" applyFill="1" applyBorder="1" applyAlignment="1">
      <alignment horizontal="center"/>
    </xf>
    <xf numFmtId="4" fontId="17" fillId="15" borderId="53" xfId="0" applyNumberFormat="1" applyFont="1" applyFill="1" applyBorder="1" applyAlignment="1">
      <alignment vertical="top"/>
    </xf>
    <xf numFmtId="2" fontId="17" fillId="15" borderId="51" xfId="0" applyNumberFormat="1" applyFont="1" applyFill="1" applyBorder="1" applyAlignment="1">
      <alignment vertical="top"/>
    </xf>
    <xf numFmtId="2" fontId="17" fillId="15" borderId="49" xfId="0" applyNumberFormat="1" applyFont="1" applyFill="1" applyBorder="1" applyAlignment="1">
      <alignment vertical="top"/>
    </xf>
    <xf numFmtId="0" fontId="17" fillId="0" borderId="0" xfId="0" quotePrefix="1" applyFont="1"/>
    <xf numFmtId="44" fontId="12" fillId="3" borderId="1" xfId="7" applyFont="1" applyFill="1" applyBorder="1" applyAlignment="1">
      <alignment horizontal="center" wrapText="1"/>
    </xf>
    <xf numFmtId="0" fontId="10" fillId="15" borderId="1" xfId="0" applyFont="1" applyFill="1" applyBorder="1" applyAlignment="1">
      <alignment horizontal="center"/>
    </xf>
    <xf numFmtId="0" fontId="0" fillId="15" borderId="1" xfId="0" applyFill="1" applyBorder="1"/>
    <xf numFmtId="9" fontId="28" fillId="15" borderId="1" xfId="12" applyNumberFormat="1" applyFont="1" applyFill="1" applyBorder="1" applyAlignment="1">
      <alignment horizontal="center" vertical="top"/>
    </xf>
    <xf numFmtId="0" fontId="28" fillId="0" borderId="0" xfId="0" applyFont="1" applyAlignment="1">
      <alignment horizontal="left"/>
    </xf>
    <xf numFmtId="0" fontId="28" fillId="21" borderId="1" xfId="0" applyFont="1" applyFill="1" applyBorder="1" applyAlignment="1">
      <alignment horizontal="left"/>
    </xf>
    <xf numFmtId="0" fontId="31" fillId="21" borderId="1" xfId="11" applyFont="1" applyFill="1" applyBorder="1" applyAlignment="1">
      <alignment horizontal="left" vertical="center" readingOrder="1"/>
    </xf>
    <xf numFmtId="0" fontId="28" fillId="21" borderId="1" xfId="11" applyFont="1" applyFill="1" applyBorder="1" applyAlignment="1">
      <alignment horizontal="center" vertical="center" wrapText="1"/>
    </xf>
    <xf numFmtId="0" fontId="28" fillId="21" borderId="1" xfId="11" applyFont="1" applyFill="1" applyBorder="1" applyAlignment="1">
      <alignment horizontal="center" vertical="center"/>
    </xf>
    <xf numFmtId="0" fontId="28" fillId="21" borderId="21" xfId="11" applyFont="1" applyFill="1" applyBorder="1" applyAlignment="1">
      <alignment horizontal="center" vertical="center" wrapText="1"/>
    </xf>
    <xf numFmtId="0" fontId="28" fillId="21" borderId="27" xfId="11" applyFont="1" applyFill="1" applyBorder="1" applyAlignment="1">
      <alignment horizontal="center" vertical="center"/>
    </xf>
    <xf numFmtId="0" fontId="28" fillId="21" borderId="71" xfId="11" applyFont="1" applyFill="1" applyBorder="1" applyAlignment="1">
      <alignment horizontal="center" vertical="center"/>
    </xf>
    <xf numFmtId="0" fontId="28" fillId="21" borderId="20" xfId="11" applyFont="1" applyFill="1" applyBorder="1" applyAlignment="1">
      <alignment horizontal="center" vertical="center"/>
    </xf>
    <xf numFmtId="0" fontId="28" fillId="21" borderId="70" xfId="11" applyFont="1" applyFill="1" applyBorder="1" applyAlignment="1">
      <alignment horizontal="center" vertical="center"/>
    </xf>
    <xf numFmtId="0" fontId="28" fillId="21" borderId="26" xfId="11" applyFont="1" applyFill="1" applyBorder="1" applyAlignment="1">
      <alignment horizontal="center" vertical="center"/>
    </xf>
    <xf numFmtId="0" fontId="28" fillId="21" borderId="1" xfId="11" applyFont="1" applyFill="1" applyBorder="1" applyAlignment="1">
      <alignment horizontal="center" wrapText="1"/>
    </xf>
    <xf numFmtId="0" fontId="28" fillId="21" borderId="1" xfId="1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12" fillId="0" borderId="45" xfId="0" applyFont="1" applyFill="1" applyBorder="1" applyAlignment="1">
      <alignment horizontal="right"/>
    </xf>
    <xf numFmtId="0" fontId="12" fillId="0" borderId="1" xfId="0" applyFont="1" applyFill="1" applyBorder="1" applyAlignment="1">
      <alignment horizontal="right"/>
    </xf>
    <xf numFmtId="0" fontId="12" fillId="0" borderId="76" xfId="0" applyFont="1" applyFill="1" applyBorder="1" applyAlignment="1">
      <alignment horizontal="right"/>
    </xf>
    <xf numFmtId="0" fontId="12" fillId="0" borderId="77" xfId="0" applyFont="1" applyFill="1" applyBorder="1" applyAlignment="1">
      <alignment horizontal="right"/>
    </xf>
    <xf numFmtId="0" fontId="12" fillId="0" borderId="73" xfId="0" applyFont="1" applyFill="1" applyBorder="1" applyAlignment="1">
      <alignment horizontal="right"/>
    </xf>
    <xf numFmtId="0" fontId="12" fillId="0" borderId="39" xfId="0" applyFont="1" applyFill="1" applyBorder="1" applyAlignment="1">
      <alignment horizontal="right"/>
    </xf>
    <xf numFmtId="0" fontId="17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wrapText="1"/>
    </xf>
    <xf numFmtId="0" fontId="17" fillId="0" borderId="0" xfId="0" applyFont="1" applyAlignment="1">
      <alignment horizontal="left" vertical="top" wrapText="1"/>
    </xf>
    <xf numFmtId="0" fontId="24" fillId="6" borderId="33" xfId="0" applyFont="1" applyFill="1" applyBorder="1" applyAlignment="1">
      <alignment horizontal="left"/>
    </xf>
    <xf numFmtId="0" fontId="9" fillId="6" borderId="81" xfId="0" applyFont="1" applyFill="1" applyBorder="1" applyAlignment="1">
      <alignment horizontal="center"/>
    </xf>
    <xf numFmtId="0" fontId="17" fillId="0" borderId="80" xfId="0" applyFont="1" applyBorder="1" applyAlignment="1">
      <alignment horizontal="center"/>
    </xf>
    <xf numFmtId="0" fontId="17" fillId="0" borderId="81" xfId="0" applyFont="1" applyBorder="1" applyAlignment="1">
      <alignment horizontal="center"/>
    </xf>
    <xf numFmtId="0" fontId="17" fillId="0" borderId="0" xfId="0" applyFont="1" applyAlignment="1">
      <alignment horizontal="left" wrapText="1"/>
    </xf>
    <xf numFmtId="0" fontId="33" fillId="6" borderId="0" xfId="0" applyFont="1" applyFill="1" applyAlignment="1">
      <alignment horizontal="center"/>
    </xf>
    <xf numFmtId="0" fontId="33" fillId="0" borderId="82" xfId="0" applyFont="1" applyFill="1" applyBorder="1" applyAlignment="1">
      <alignment horizontal="right" vertical="top"/>
    </xf>
    <xf numFmtId="0" fontId="33" fillId="0" borderId="83" xfId="0" applyFont="1" applyFill="1" applyBorder="1" applyAlignment="1">
      <alignment horizontal="right" vertical="top"/>
    </xf>
    <xf numFmtId="0" fontId="33" fillId="6" borderId="1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14" borderId="6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10" xfId="0" applyFont="1" applyBorder="1"/>
    <xf numFmtId="0" fontId="12" fillId="15" borderId="0" xfId="0" applyFont="1" applyFill="1" applyAlignment="1">
      <alignment vertical="top" wrapText="1"/>
    </xf>
    <xf numFmtId="0" fontId="12" fillId="15" borderId="0" xfId="0" applyFont="1" applyFill="1" applyAlignment="1">
      <alignment vertical="top"/>
    </xf>
    <xf numFmtId="0" fontId="19" fillId="14" borderId="6" xfId="0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center" vertical="center"/>
    </xf>
    <xf numFmtId="0" fontId="19" fillId="14" borderId="8" xfId="0" applyFont="1" applyFill="1" applyBorder="1" applyAlignment="1">
      <alignment horizontal="center" vertical="center"/>
    </xf>
    <xf numFmtId="0" fontId="12" fillId="15" borderId="0" xfId="0" applyFont="1" applyFill="1" applyAlignment="1">
      <alignment vertical="center" wrapText="1"/>
    </xf>
    <xf numFmtId="0" fontId="12" fillId="15" borderId="0" xfId="0" applyFont="1" applyFill="1" applyAlignment="1">
      <alignment vertical="center"/>
    </xf>
    <xf numFmtId="0" fontId="10" fillId="15" borderId="1" xfId="0" applyFont="1" applyFill="1" applyBorder="1" applyAlignment="1">
      <alignment horizontal="center"/>
    </xf>
    <xf numFmtId="0" fontId="12" fillId="15" borderId="0" xfId="0" applyFont="1" applyFill="1" applyAlignment="1">
      <alignment wrapText="1"/>
    </xf>
    <xf numFmtId="0" fontId="14" fillId="9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wrapText="1"/>
    </xf>
    <xf numFmtId="0" fontId="25" fillId="8" borderId="1" xfId="0" applyFont="1" applyFill="1" applyBorder="1" applyAlignment="1">
      <alignment horizontal="center"/>
    </xf>
    <xf numFmtId="0" fontId="32" fillId="15" borderId="72" xfId="0" applyFont="1" applyFill="1" applyBorder="1" applyAlignment="1">
      <alignment horizontal="center"/>
    </xf>
    <xf numFmtId="0" fontId="32" fillId="15" borderId="0" xfId="0" applyFont="1" applyFill="1" applyBorder="1" applyAlignment="1">
      <alignment horizontal="center"/>
    </xf>
  </cellXfs>
  <cellStyles count="13">
    <cellStyle name="Euro" xfId="9" xr:uid="{0BBAE23C-6283-4DD4-951D-BCF9732D66AE}"/>
    <cellStyle name="Geld_grob" xfId="1" xr:uid="{00000000-0005-0000-0000-000000000000}"/>
    <cellStyle name="Komma" xfId="6" builtinId="3"/>
    <cellStyle name="Prozent" xfId="8" builtinId="5"/>
    <cellStyle name="Standard" xfId="0" builtinId="0"/>
    <cellStyle name="Standard 2" xfId="10" xr:uid="{BC7D12CF-5622-45C1-9804-5A523E5DDD82}"/>
    <cellStyle name="Standard 3" xfId="11" xr:uid="{CFE15096-A47C-4A98-874B-B854701B6AFD}"/>
    <cellStyle name="Standard 4" xfId="4" xr:uid="{4A35BD55-CD3F-4A64-B88A-0B9FF02EFD51}"/>
    <cellStyle name="Währung" xfId="7" builtinId="4"/>
    <cellStyle name="Währung 2" xfId="2" xr:uid="{00000000-0005-0000-0000-000003000000}"/>
    <cellStyle name="Währung 3" xfId="5" xr:uid="{A9B44C8E-852C-402B-AB48-02529180AED6}"/>
    <cellStyle name="Währung 4" xfId="12" xr:uid="{541189F1-6381-4902-981C-30935AD71620}"/>
    <cellStyle name="Zeilen-/Spaltenbeschriftungen" xfId="3" xr:uid="{00000000-0005-0000-0000-000004000000}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indexed="53"/>
        </patternFill>
      </fill>
    </dxf>
    <dxf>
      <fill>
        <patternFill>
          <bgColor indexed="17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47"/>
        </patternFill>
      </fill>
    </dxf>
    <dxf>
      <fill>
        <patternFill>
          <bgColor indexed="11"/>
        </patternFill>
      </fill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w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w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4</xdr:col>
      <xdr:colOff>7620</xdr:colOff>
      <xdr:row>25</xdr:row>
      <xdr:rowOff>7620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199B8AA-D094-4029-BE1C-6C7D7F5BE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6640"/>
          <a:ext cx="4069080" cy="1394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7</xdr:col>
      <xdr:colOff>7620</xdr:colOff>
      <xdr:row>19</xdr:row>
      <xdr:rowOff>7620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230AF7F-1B46-44BF-B279-7C2D6DCC2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840" y="1813560"/>
          <a:ext cx="3268980" cy="1958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4</xdr:col>
      <xdr:colOff>864870</xdr:colOff>
      <xdr:row>25</xdr:row>
      <xdr:rowOff>175260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BEE1F94-DB23-42EC-A60F-4FD31E41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4280"/>
          <a:ext cx="5539740" cy="136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167640</xdr:rowOff>
    </xdr:from>
    <xdr:to>
      <xdr:col>4</xdr:col>
      <xdr:colOff>7620</xdr:colOff>
      <xdr:row>26</xdr:row>
      <xdr:rowOff>68580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E2AAA17-6A1A-4441-BA3B-52A55297B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8420"/>
          <a:ext cx="4099560" cy="21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7</xdr:col>
      <xdr:colOff>22860</xdr:colOff>
      <xdr:row>24</xdr:row>
      <xdr:rowOff>7620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7DD9889-873D-4FBF-BE7B-77AA1948B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944880"/>
          <a:ext cx="3596640" cy="362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9</xdr:col>
      <xdr:colOff>15240</xdr:colOff>
      <xdr:row>22</xdr:row>
      <xdr:rowOff>7620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8942B22-5B81-458D-A151-7609DE651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980" y="2103120"/>
          <a:ext cx="3657600" cy="21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7</xdr:col>
      <xdr:colOff>403860</xdr:colOff>
      <xdr:row>29</xdr:row>
      <xdr:rowOff>7620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F8C449-1477-419E-A29E-41FE4BD70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140" y="1676400"/>
          <a:ext cx="3002280" cy="381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6</xdr:col>
      <xdr:colOff>7620</xdr:colOff>
      <xdr:row>19</xdr:row>
      <xdr:rowOff>38100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E47BF3C-F4F9-4D7F-AF0D-2C36BB88E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2700"/>
          <a:ext cx="6179820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175260</xdr:colOff>
      <xdr:row>20</xdr:row>
      <xdr:rowOff>64770</xdr:rowOff>
    </xdr:from>
    <xdr:to>
      <xdr:col>35</xdr:col>
      <xdr:colOff>62119</xdr:colOff>
      <xdr:row>36</xdr:row>
      <xdr:rowOff>41006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4CB39323-2604-453C-8C41-B5FF8044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92485" y="4351020"/>
          <a:ext cx="4458859" cy="268133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9</xdr:col>
      <xdr:colOff>674370</xdr:colOff>
      <xdr:row>18</xdr:row>
      <xdr:rowOff>106680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09A3227-A95D-4FB7-AE6D-502A8E70E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0280"/>
          <a:ext cx="9974580" cy="1325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8</xdr:col>
      <xdr:colOff>7620</xdr:colOff>
      <xdr:row>16</xdr:row>
      <xdr:rowOff>180975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C197DBD-644A-4406-B0FC-1A8C4171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522220"/>
          <a:ext cx="24003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5</xdr:col>
      <xdr:colOff>7620</xdr:colOff>
      <xdr:row>39</xdr:row>
      <xdr:rowOff>167640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3F92E48-4532-4143-AC70-B00E09019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5840"/>
          <a:ext cx="5082540" cy="3215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758190</xdr:colOff>
      <xdr:row>2</xdr:row>
      <xdr:rowOff>76200</xdr:rowOff>
    </xdr:from>
    <xdr:ext cx="2666371" cy="1146148"/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53564319-3E5B-4254-B228-248215200976}"/>
            </a:ext>
          </a:extLst>
        </xdr:cNvPr>
        <xdr:cNvSpPr txBox="1">
          <a:spLocks noChangeArrowheads="1"/>
        </xdr:cNvSpPr>
      </xdr:nvSpPr>
      <xdr:spPr bwMode="auto">
        <a:xfrm>
          <a:off x="4446270" y="601980"/>
          <a:ext cx="2666371" cy="1146148"/>
        </a:xfrm>
        <a:prstGeom prst="rect">
          <a:avLst/>
        </a:prstGeom>
        <a:solidFill>
          <a:srgbClr val="FFCC00"/>
        </a:solidFill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In diesem Betrieb erhalten Azubis</a:t>
          </a:r>
        </a:p>
        <a:p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im 1. Lehrjahr 700,-   EUR</a:t>
          </a:r>
        </a:p>
        <a:p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im 2. Lehrjahr 1200,- EUR</a:t>
          </a:r>
        </a:p>
        <a:p>
          <a:pPr algn="l" rtl="0">
            <a:lnSpc>
              <a:spcPts val="1600"/>
            </a:lnSpc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im 3. Lehrjahr 1600,- EUR</a:t>
          </a:r>
          <a:endParaRPr lang="de-DE" sz="1200" b="0" i="0" u="none" strike="noStrike" baseline="0">
            <a:solidFill>
              <a:srgbClr val="FF0000"/>
            </a:solidFill>
            <a:latin typeface="Comic Sans MS"/>
          </a:endParaRPr>
        </a:p>
        <a:p>
          <a:pPr algn="l" rtl="0">
            <a:lnSpc>
              <a:spcPts val="1600"/>
            </a:lnSpc>
            <a:defRPr sz="1000"/>
          </a:pPr>
          <a:endParaRPr lang="de-DE" sz="1200" b="0" i="0" u="none" strike="noStrike" baseline="0">
            <a:solidFill>
              <a:srgbClr val="FF0000"/>
            </a:solidFill>
            <a:latin typeface="Comic Sans MS"/>
          </a:endParaRPr>
        </a:p>
      </xdr:txBody>
    </xdr:sp>
    <xdr:clientData/>
  </xdr:oneCellAnchor>
  <xdr:twoCellAnchor editAs="oneCell">
    <xdr:from>
      <xdr:col>4</xdr:col>
      <xdr:colOff>708660</xdr:colOff>
      <xdr:row>9</xdr:row>
      <xdr:rowOff>160020</xdr:rowOff>
    </xdr:from>
    <xdr:to>
      <xdr:col>7</xdr:col>
      <xdr:colOff>678180</xdr:colOff>
      <xdr:row>22</xdr:row>
      <xdr:rowOff>121920</xdr:rowOff>
    </xdr:to>
    <xdr:pic>
      <xdr:nvPicPr>
        <xdr:cNvPr id="7265" name="imgPreview" descr="Bargeld,Business,currency,D-Mark,Dollar,dollars,Geld,Geschäft,Mark,money,Reichtum,Währung,wealth,Wohlstand">
          <a:extLst>
            <a:ext uri="{FF2B5EF4-FFF2-40B4-BE49-F238E27FC236}">
              <a16:creationId xmlns:a16="http://schemas.microsoft.com/office/drawing/2014/main" id="{7011ECCF-5907-49BB-8E5F-AB358875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316480"/>
          <a:ext cx="2324100" cy="2301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144780</xdr:colOff>
      <xdr:row>1</xdr:row>
      <xdr:rowOff>99060</xdr:rowOff>
    </xdr:from>
    <xdr:to>
      <xdr:col>13</xdr:col>
      <xdr:colOff>601980</xdr:colOff>
      <xdr:row>11</xdr:row>
      <xdr:rowOff>167640</xdr:rowOff>
    </xdr:to>
    <xdr:pic>
      <xdr:nvPicPr>
        <xdr:cNvPr id="7266" name="Grafik 4">
          <a:extLst>
            <a:ext uri="{FF2B5EF4-FFF2-40B4-BE49-F238E27FC236}">
              <a16:creationId xmlns:a16="http://schemas.microsoft.com/office/drawing/2014/main" id="{BD48E863-16E3-4BB9-AC73-4DCF0DAFF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2020" y="358140"/>
          <a:ext cx="3596640" cy="242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560070</xdr:colOff>
      <xdr:row>2</xdr:row>
      <xdr:rowOff>95250</xdr:rowOff>
    </xdr:from>
    <xdr:to>
      <xdr:col>8</xdr:col>
      <xdr:colOff>792471</xdr:colOff>
      <xdr:row>9</xdr:row>
      <xdr:rowOff>19050</xdr:rowOff>
    </xdr:to>
    <xdr:sp macro="" textlink="">
      <xdr:nvSpPr>
        <xdr:cNvPr id="3132" name="Text Box 1">
          <a:extLst>
            <a:ext uri="{FF2B5EF4-FFF2-40B4-BE49-F238E27FC236}">
              <a16:creationId xmlns:a16="http://schemas.microsoft.com/office/drawing/2014/main" id="{BD44E340-D698-428A-858F-E45B017CA6B4}"/>
            </a:ext>
          </a:extLst>
        </xdr:cNvPr>
        <xdr:cNvSpPr txBox="1">
          <a:spLocks noChangeArrowheads="1"/>
        </xdr:cNvSpPr>
      </xdr:nvSpPr>
      <xdr:spPr bwMode="auto">
        <a:xfrm>
          <a:off x="5381625" y="419100"/>
          <a:ext cx="3305175" cy="1485900"/>
        </a:xfrm>
        <a:prstGeom prst="rect">
          <a:avLst/>
        </a:prstGeom>
        <a:solidFill>
          <a:srgbClr val="FFCC00"/>
        </a:solidFill>
        <a:ln w="381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0" bIns="0" anchor="t"/>
        <a:lstStyle/>
        <a:p>
          <a:pPr algn="l" rtl="0">
            <a:lnSpc>
              <a:spcPts val="1500"/>
            </a:lnSpc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Wenn jemand im Betrieb mehr als 20 Jahre arbeitet, dann erhält er ein Weihnachtsgeld von  900,00 Euro,  arbeitet er  weniger als 5 Jahre erhält er nur 300,00 Euro, ansonsten 500,00 Euro.</a:t>
          </a:r>
        </a:p>
        <a:p>
          <a:pPr algn="l" rtl="0">
            <a:lnSpc>
              <a:spcPts val="1300"/>
            </a:lnSpc>
            <a:defRPr sz="1000"/>
          </a:pPr>
          <a:endParaRPr lang="de-DE" sz="1200" b="0" i="0" u="none" strike="noStrike" baseline="0">
            <a:solidFill>
              <a:srgbClr val="000000"/>
            </a:solidFill>
            <a:latin typeface="Comic Sans MS"/>
          </a:endParaRPr>
        </a:p>
        <a:p>
          <a:pPr algn="l" rtl="0">
            <a:lnSpc>
              <a:spcPts val="1400"/>
            </a:lnSpc>
            <a:defRPr sz="1000"/>
          </a:pPr>
          <a:endParaRPr lang="de-DE" sz="1200" b="0" i="0" u="none" strike="noStrike" baseline="0">
            <a:solidFill>
              <a:srgbClr val="000000"/>
            </a:solidFill>
            <a:latin typeface="Comic Sans MS"/>
          </a:endParaRPr>
        </a:p>
        <a:p>
          <a:pPr algn="l" rtl="0">
            <a:lnSpc>
              <a:spcPts val="1200"/>
            </a:lnSpc>
            <a:defRPr sz="1000"/>
          </a:pPr>
          <a:endParaRPr lang="de-DE" sz="1200" b="0" i="0" u="none" strike="noStrike" baseline="0">
            <a:solidFill>
              <a:srgbClr val="000000"/>
            </a:solidFill>
            <a:latin typeface="Comic Sans MS"/>
          </a:endParaRPr>
        </a:p>
      </xdr:txBody>
    </xdr:sp>
    <xdr:clientData/>
  </xdr:twoCellAnchor>
  <xdr:twoCellAnchor editAs="oneCell">
    <xdr:from>
      <xdr:col>1</xdr:col>
      <xdr:colOff>175260</xdr:colOff>
      <xdr:row>17</xdr:row>
      <xdr:rowOff>91440</xdr:rowOff>
    </xdr:from>
    <xdr:to>
      <xdr:col>2</xdr:col>
      <xdr:colOff>1158240</xdr:colOff>
      <xdr:row>28</xdr:row>
      <xdr:rowOff>160020</xdr:rowOff>
    </xdr:to>
    <xdr:pic>
      <xdr:nvPicPr>
        <xdr:cNvPr id="3259" name="Picture 3" descr="C:\Program Files\Microsoft Office\MEDIA\CAGCAT10\j0183290.wmf">
          <a:extLst>
            <a:ext uri="{FF2B5EF4-FFF2-40B4-BE49-F238E27FC236}">
              <a16:creationId xmlns:a16="http://schemas.microsoft.com/office/drawing/2014/main" id="{0B218640-B1E9-47F0-8003-430C0BDC5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95957">
          <a:off x="1272540" y="3550920"/>
          <a:ext cx="1775460" cy="191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1190625</xdr:colOff>
      <xdr:row>15</xdr:row>
      <xdr:rowOff>93345</xdr:rowOff>
    </xdr:from>
    <xdr:to>
      <xdr:col>3</xdr:col>
      <xdr:colOff>1664946</xdr:colOff>
      <xdr:row>22</xdr:row>
      <xdr:rowOff>142899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6A6B1469-4BDB-4505-B57D-142CF292E778}"/>
            </a:ext>
          </a:extLst>
        </xdr:cNvPr>
        <xdr:cNvSpPr>
          <a:spLocks noChangeArrowheads="1"/>
        </xdr:cNvSpPr>
      </xdr:nvSpPr>
      <xdr:spPr bwMode="auto">
        <a:xfrm rot="798965">
          <a:off x="2990850" y="2828925"/>
          <a:ext cx="1790700" cy="1190625"/>
        </a:xfrm>
        <a:prstGeom prst="wedgeEllipseCallout">
          <a:avLst>
            <a:gd name="adj1" fmla="val -83555"/>
            <a:gd name="adj2" fmla="val 98420"/>
          </a:avLst>
        </a:prstGeom>
        <a:solidFill>
          <a:srgbClr val="C0504D"/>
        </a:solidFill>
        <a:ln w="38100">
          <a:solidFill>
            <a:srgbClr val="F2F2F2"/>
          </a:solidFill>
          <a:miter lim="800000"/>
          <a:headEnd/>
          <a:tailEnd/>
        </a:ln>
        <a:effectLst>
          <a:outerShdw dist="28398" dir="3806097" algn="ctr" rotWithShape="0">
            <a:srgbClr val="622423">
              <a:alpha val="50000"/>
            </a:srgbClr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100" b="1" i="0" u="none" strike="noStrike" baseline="0">
              <a:solidFill>
                <a:srgbClr val="000000"/>
              </a:solidFill>
              <a:latin typeface="Comic Sans MS"/>
            </a:rPr>
            <a:t>Hoho Hoh! Fröhliche Weihnachten!</a:t>
          </a:r>
          <a:endParaRPr lang="de-DE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endParaRPr lang="de-DE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 editAs="oneCell">
    <xdr:from>
      <xdr:col>10</xdr:col>
      <xdr:colOff>312420</xdr:colOff>
      <xdr:row>1</xdr:row>
      <xdr:rowOff>121920</xdr:rowOff>
    </xdr:from>
    <xdr:to>
      <xdr:col>16</xdr:col>
      <xdr:colOff>640080</xdr:colOff>
      <xdr:row>12</xdr:row>
      <xdr:rowOff>0</xdr:rowOff>
    </xdr:to>
    <xdr:pic>
      <xdr:nvPicPr>
        <xdr:cNvPr id="3261" name="Grafik 5">
          <a:extLst>
            <a:ext uri="{FF2B5EF4-FFF2-40B4-BE49-F238E27FC236}">
              <a16:creationId xmlns:a16="http://schemas.microsoft.com/office/drawing/2014/main" id="{FE226233-5484-4767-987C-C63A1453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1140" y="381000"/>
          <a:ext cx="5082540" cy="2194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114300</xdr:rowOff>
    </xdr:from>
    <xdr:to>
      <xdr:col>8</xdr:col>
      <xdr:colOff>76200</xdr:colOff>
      <xdr:row>7</xdr:row>
      <xdr:rowOff>142875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B544ED62-9982-4A02-BCCD-D41E21E4126C}"/>
            </a:ext>
          </a:extLst>
        </xdr:cNvPr>
        <xdr:cNvSpPr txBox="1">
          <a:spLocks noChangeArrowheads="1"/>
        </xdr:cNvSpPr>
      </xdr:nvSpPr>
      <xdr:spPr bwMode="auto">
        <a:xfrm>
          <a:off x="4429125" y="276225"/>
          <a:ext cx="3124200" cy="1352550"/>
        </a:xfrm>
        <a:prstGeom prst="rect">
          <a:avLst/>
        </a:prstGeom>
        <a:solidFill>
          <a:srgbClr val="FFCC00"/>
        </a:solidFill>
        <a:ln w="381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300"/>
            </a:lnSpc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Vom Vorstand wurde Paul S. mitgeteilt, dass er den Mitarbeitern die älter als 49 Jahre alt sind einen Gehaltszuschlag von 5 % gewährt, falls sie älter als 55 sind sogar einen zuschlag von 7 % sonst keinen!</a:t>
          </a:r>
        </a:p>
        <a:p>
          <a:pPr algn="l" rtl="0">
            <a:defRPr sz="1000"/>
          </a:pPr>
          <a:endParaRPr lang="de-DE" sz="1200" b="0" i="0" u="none" strike="noStrike" baseline="0">
            <a:solidFill>
              <a:srgbClr val="000000"/>
            </a:solidFill>
            <a:latin typeface="Comic Sans MS"/>
          </a:endParaRPr>
        </a:p>
        <a:p>
          <a:pPr algn="l" rtl="0">
            <a:defRPr sz="1000"/>
          </a:pPr>
          <a:endParaRPr lang="de-DE" sz="1200" b="0" i="0" u="none" strike="noStrike" baseline="0">
            <a:solidFill>
              <a:srgbClr val="000000"/>
            </a:solidFill>
            <a:latin typeface="Comic Sans MS"/>
          </a:endParaRPr>
        </a:p>
      </xdr:txBody>
    </xdr:sp>
    <xdr:clientData/>
  </xdr:twoCellAnchor>
  <xdr:twoCellAnchor editAs="oneCell">
    <xdr:from>
      <xdr:col>4</xdr:col>
      <xdr:colOff>480060</xdr:colOff>
      <xdr:row>9</xdr:row>
      <xdr:rowOff>45720</xdr:rowOff>
    </xdr:from>
    <xdr:to>
      <xdr:col>7</xdr:col>
      <xdr:colOff>777240</xdr:colOff>
      <xdr:row>24</xdr:row>
      <xdr:rowOff>7620</xdr:rowOff>
    </xdr:to>
    <xdr:pic>
      <xdr:nvPicPr>
        <xdr:cNvPr id="8289" name="imgPreview" descr="Banknoten,Bargeld,Brieftaschen,Dollar,Dollarscheine,Dollarzeichen,Finanzen,Geldbörsen,Gelder,Geldscheine,Reichtümer,Währungen,Wohlstand">
          <a:extLst>
            <a:ext uri="{FF2B5EF4-FFF2-40B4-BE49-F238E27FC236}">
              <a16:creationId xmlns:a16="http://schemas.microsoft.com/office/drawing/2014/main" id="{9F1AE8CA-33BF-48C1-867B-5CDB1874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6027089">
          <a:off x="5383530" y="1901190"/>
          <a:ext cx="2567940" cy="2651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762000</xdr:colOff>
      <xdr:row>1</xdr:row>
      <xdr:rowOff>76200</xdr:rowOff>
    </xdr:from>
    <xdr:to>
      <xdr:col>15</xdr:col>
      <xdr:colOff>236220</xdr:colOff>
      <xdr:row>9</xdr:row>
      <xdr:rowOff>7620</xdr:rowOff>
    </xdr:to>
    <xdr:pic>
      <xdr:nvPicPr>
        <xdr:cNvPr id="8290" name="Grafik 4">
          <a:extLst>
            <a:ext uri="{FF2B5EF4-FFF2-40B4-BE49-F238E27FC236}">
              <a16:creationId xmlns:a16="http://schemas.microsoft.com/office/drawing/2014/main" id="{AAABE651-2BD8-48CA-9A53-4D43A2A9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860" y="266700"/>
          <a:ext cx="418338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243840</xdr:colOff>
      <xdr:row>17</xdr:row>
      <xdr:rowOff>45720</xdr:rowOff>
    </xdr:from>
    <xdr:to>
      <xdr:col>15</xdr:col>
      <xdr:colOff>167640</xdr:colOff>
      <xdr:row>26</xdr:row>
      <xdr:rowOff>91440</xdr:rowOff>
    </xdr:to>
    <xdr:sp macro="" textlink="">
      <xdr:nvSpPr>
        <xdr:cNvPr id="5281" name="AutoShape 1" descr="48">
          <a:extLst>
            <a:ext uri="{FF2B5EF4-FFF2-40B4-BE49-F238E27FC236}">
              <a16:creationId xmlns:a16="http://schemas.microsoft.com/office/drawing/2014/main" id="{1F1A53F0-1CDA-4C6E-BBA1-D48C58FAC567}"/>
            </a:ext>
          </a:extLst>
        </xdr:cNvPr>
        <xdr:cNvSpPr>
          <a:spLocks noChangeAspect="1" noChangeArrowheads="1"/>
        </xdr:cNvSpPr>
      </xdr:nvSpPr>
      <xdr:spPr bwMode="auto">
        <a:xfrm>
          <a:off x="10218420" y="3284220"/>
          <a:ext cx="3063240" cy="1623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283845</xdr:colOff>
      <xdr:row>3</xdr:row>
      <xdr:rowOff>66675</xdr:rowOff>
    </xdr:from>
    <xdr:to>
      <xdr:col>8</xdr:col>
      <xdr:colOff>737214</xdr:colOff>
      <xdr:row>14</xdr:row>
      <xdr:rowOff>57150</xdr:rowOff>
    </xdr:to>
    <xdr:sp macro="" textlink="">
      <xdr:nvSpPr>
        <xdr:cNvPr id="5145" name="Text Box 1">
          <a:extLst>
            <a:ext uri="{FF2B5EF4-FFF2-40B4-BE49-F238E27FC236}">
              <a16:creationId xmlns:a16="http://schemas.microsoft.com/office/drawing/2014/main" id="{753E01FC-16F9-4C21-BC0F-4487F7580DA5}"/>
            </a:ext>
          </a:extLst>
        </xdr:cNvPr>
        <xdr:cNvSpPr txBox="1">
          <a:spLocks noChangeArrowheads="1"/>
        </xdr:cNvSpPr>
      </xdr:nvSpPr>
      <xdr:spPr bwMode="auto">
        <a:xfrm>
          <a:off x="5391150" y="552450"/>
          <a:ext cx="2724150" cy="2066925"/>
        </a:xfrm>
        <a:prstGeom prst="rect">
          <a:avLst/>
        </a:prstGeom>
        <a:solidFill>
          <a:srgbClr val="FFCC00"/>
        </a:solidFill>
        <a:ln w="381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0" bIns="0" anchor="t"/>
        <a:lstStyle/>
        <a:p>
          <a:pPr algn="l" rtl="0">
            <a:defRPr sz="1000"/>
          </a:pPr>
          <a:endParaRPr lang="de-DE" sz="1200" b="0" i="0" u="none" strike="noStrike" baseline="0">
            <a:solidFill>
              <a:srgbClr val="000000"/>
            </a:solidFill>
            <a:latin typeface="Comic Sans MS"/>
          </a:endParaRPr>
        </a:p>
        <a:p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Paul S. und seine 11 Berater müssen einen neuen Tarifvertrag für seine Abteilung ansetzen.</a:t>
          </a:r>
        </a:p>
        <a:p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Ab 600 Punkte wird der Tarifvertrag übernommen. Vier Tarifverträge sind vorgegeben.</a:t>
          </a:r>
        </a:p>
        <a:p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Comic Sans MS"/>
            </a:rPr>
            <a:t>Es soll "Ja" oder "Nein" erscheinen.</a:t>
          </a:r>
        </a:p>
      </xdr:txBody>
    </xdr:sp>
    <xdr:clientData/>
  </xdr:twoCellAnchor>
  <xdr:twoCellAnchor editAs="oneCell">
    <xdr:from>
      <xdr:col>1</xdr:col>
      <xdr:colOff>449580</xdr:colOff>
      <xdr:row>18</xdr:row>
      <xdr:rowOff>152400</xdr:rowOff>
    </xdr:from>
    <xdr:to>
      <xdr:col>3</xdr:col>
      <xdr:colOff>76200</xdr:colOff>
      <xdr:row>29</xdr:row>
      <xdr:rowOff>144780</xdr:rowOff>
    </xdr:to>
    <xdr:pic>
      <xdr:nvPicPr>
        <xdr:cNvPr id="5283" name="Picture 7" descr="C:\Users\ZOTAC\AppData\Local\Microsoft\Windows\Temporary Internet Files\Content.IE5\3ASDUKZ3\MC900440428[1].wmf">
          <a:extLst>
            <a:ext uri="{FF2B5EF4-FFF2-40B4-BE49-F238E27FC236}">
              <a16:creationId xmlns:a16="http://schemas.microsoft.com/office/drawing/2014/main" id="{D4630701-4C0C-44C9-AC93-8CBA404C4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140" y="3581400"/>
          <a:ext cx="1783080" cy="1882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226695</xdr:colOff>
      <xdr:row>20</xdr:row>
      <xdr:rowOff>0</xdr:rowOff>
    </xdr:from>
    <xdr:to>
      <xdr:col>7</xdr:col>
      <xdr:colOff>784857</xdr:colOff>
      <xdr:row>25</xdr:row>
      <xdr:rowOff>104775</xdr:rowOff>
    </xdr:to>
    <xdr:sp macro="" textlink="">
      <xdr:nvSpPr>
        <xdr:cNvPr id="5147" name="Wolkenförmige Legende 6">
          <a:extLst>
            <a:ext uri="{FF2B5EF4-FFF2-40B4-BE49-F238E27FC236}">
              <a16:creationId xmlns:a16="http://schemas.microsoft.com/office/drawing/2014/main" id="{6472ED5F-EBE5-45C2-8605-BF444B79F17D}"/>
            </a:ext>
          </a:extLst>
        </xdr:cNvPr>
        <xdr:cNvSpPr>
          <a:spLocks noChangeArrowheads="1"/>
        </xdr:cNvSpPr>
      </xdr:nvSpPr>
      <xdr:spPr bwMode="auto">
        <a:xfrm>
          <a:off x="3333750" y="3705225"/>
          <a:ext cx="4067175" cy="914400"/>
        </a:xfrm>
        <a:prstGeom prst="cloudCallout">
          <a:avLst>
            <a:gd name="adj1" fmla="val -57259"/>
            <a:gd name="adj2" fmla="val -54167"/>
          </a:avLst>
        </a:prstGeom>
        <a:solidFill>
          <a:srgbClr val="4F81BD"/>
        </a:solidFill>
        <a:ln w="25400" algn="ctr">
          <a:solidFill>
            <a:srgbClr val="385D8A"/>
          </a:solidFill>
          <a:round/>
          <a:headEnd/>
          <a:tailEnd/>
        </a:ln>
      </xdr:spPr>
      <xdr:txBody>
        <a:bodyPr vertOverflow="clip" wrap="square" lIns="36576" tIns="41148" rIns="36576" bIns="41148" anchor="ctr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FFFFFF"/>
              </a:solidFill>
              <a:latin typeface="Comic Sans MS"/>
            </a:rPr>
            <a:t>Ich bin gespannt, welcher der Tarifverträge gewählt wird!</a:t>
          </a:r>
        </a:p>
        <a:p>
          <a:pPr algn="ctr" rtl="0">
            <a:defRPr sz="1000"/>
          </a:pPr>
          <a:endParaRPr lang="de-DE" sz="1200" b="0" i="0" u="none" strike="noStrike" baseline="0">
            <a:solidFill>
              <a:srgbClr val="FFFFFF"/>
            </a:solidFill>
            <a:latin typeface="Comic Sans MS"/>
          </a:endParaRPr>
        </a:p>
      </xdr:txBody>
    </xdr:sp>
    <xdr:clientData/>
  </xdr:twoCellAnchor>
  <xdr:twoCellAnchor editAs="oneCell">
    <xdr:from>
      <xdr:col>10</xdr:col>
      <xdr:colOff>777240</xdr:colOff>
      <xdr:row>2</xdr:row>
      <xdr:rowOff>167640</xdr:rowOff>
    </xdr:from>
    <xdr:to>
      <xdr:col>16</xdr:col>
      <xdr:colOff>335280</xdr:colOff>
      <xdr:row>18</xdr:row>
      <xdr:rowOff>68580</xdr:rowOff>
    </xdr:to>
    <xdr:pic>
      <xdr:nvPicPr>
        <xdr:cNvPr id="5285" name="Grafik 5">
          <a:extLst>
            <a:ext uri="{FF2B5EF4-FFF2-40B4-BE49-F238E27FC236}">
              <a16:creationId xmlns:a16="http://schemas.microsoft.com/office/drawing/2014/main" id="{83B7B1FE-F7A1-42C5-B08C-90A6CCC0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6960" y="548640"/>
          <a:ext cx="4267200" cy="2948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12</xdr:row>
      <xdr:rowOff>7620</xdr:rowOff>
    </xdr:from>
    <xdr:to>
      <xdr:col>3</xdr:col>
      <xdr:colOff>76200</xdr:colOff>
      <xdr:row>20</xdr:row>
      <xdr:rowOff>76200</xdr:rowOff>
    </xdr:to>
    <xdr:pic>
      <xdr:nvPicPr>
        <xdr:cNvPr id="17414" name="Grafik 1">
          <a:extLst>
            <a:ext uri="{FF2B5EF4-FFF2-40B4-BE49-F238E27FC236}">
              <a16:creationId xmlns:a16="http://schemas.microsoft.com/office/drawing/2014/main" id="{1A421A0E-DF0A-48B5-BBD5-81FECB88C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2743200"/>
          <a:ext cx="3505200" cy="1432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693420</xdr:colOff>
      <xdr:row>16</xdr:row>
      <xdr:rowOff>7620</xdr:rowOff>
    </xdr:from>
    <xdr:to>
      <xdr:col>2</xdr:col>
      <xdr:colOff>2430780</xdr:colOff>
      <xdr:row>29</xdr:row>
      <xdr:rowOff>0</xdr:rowOff>
    </xdr:to>
    <xdr:pic>
      <xdr:nvPicPr>
        <xdr:cNvPr id="16391" name="Grafik 1">
          <a:extLst>
            <a:ext uri="{FF2B5EF4-FFF2-40B4-BE49-F238E27FC236}">
              <a16:creationId xmlns:a16="http://schemas.microsoft.com/office/drawing/2014/main" id="{65CE9714-3E97-43EC-B6D1-B98C2100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3291840"/>
          <a:ext cx="2446020" cy="2194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445770</xdr:colOff>
      <xdr:row>19</xdr:row>
      <xdr:rowOff>19050</xdr:rowOff>
    </xdr:from>
    <xdr:to>
      <xdr:col>3</xdr:col>
      <xdr:colOff>358162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FB58988-83E6-47AE-90FA-20D3D03AF880}"/>
            </a:ext>
          </a:extLst>
        </xdr:cNvPr>
        <xdr:cNvSpPr txBox="1">
          <a:spLocks noChangeArrowheads="1"/>
        </xdr:cNvSpPr>
      </xdr:nvSpPr>
      <xdr:spPr bwMode="auto">
        <a:xfrm>
          <a:off x="2657475" y="4210050"/>
          <a:ext cx="1352550" cy="1171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IHK Schlüssel</a:t>
          </a:r>
        </a:p>
        <a:p>
          <a:pPr algn="l" rtl="0">
            <a:lnSpc>
              <a:spcPts val="11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0 bis 29 = 6</a:t>
          </a:r>
        </a:p>
        <a:p>
          <a:pPr algn="l" rtl="0">
            <a:lnSpc>
              <a:spcPts val="11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 bis 49 = 5</a:t>
          </a:r>
        </a:p>
        <a:p>
          <a:pPr algn="l" rtl="0">
            <a:lnSpc>
              <a:spcPts val="11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50 bis 66 = 4</a:t>
          </a:r>
        </a:p>
        <a:p>
          <a:pPr algn="l" rtl="0">
            <a:lnSpc>
              <a:spcPts val="11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67 bis 80 = 3</a:t>
          </a:r>
        </a:p>
        <a:p>
          <a:pPr algn="l" rtl="0">
            <a:lnSpc>
              <a:spcPts val="11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81 bis 91 = 2</a:t>
          </a:r>
        </a:p>
        <a:p>
          <a:pPr algn="l" rtl="0">
            <a:lnSpc>
              <a:spcPts val="10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92 bis 100 = 1</a:t>
          </a:r>
          <a:endParaRPr lang="de-DE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1013460</xdr:colOff>
      <xdr:row>10</xdr:row>
      <xdr:rowOff>182880</xdr:rowOff>
    </xdr:from>
    <xdr:to>
      <xdr:col>4</xdr:col>
      <xdr:colOff>1310640</xdr:colOff>
      <xdr:row>18</xdr:row>
      <xdr:rowOff>38100</xdr:rowOff>
    </xdr:to>
    <xdr:pic>
      <xdr:nvPicPr>
        <xdr:cNvPr id="20484" name="Grafik 1">
          <a:extLst>
            <a:ext uri="{FF2B5EF4-FFF2-40B4-BE49-F238E27FC236}">
              <a16:creationId xmlns:a16="http://schemas.microsoft.com/office/drawing/2014/main" id="{50D9A554-22BF-41AC-A756-78EBCE9F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9960" y="2316480"/>
          <a:ext cx="269748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1165860</xdr:colOff>
      <xdr:row>8</xdr:row>
      <xdr:rowOff>22860</xdr:rowOff>
    </xdr:from>
    <xdr:to>
      <xdr:col>7</xdr:col>
      <xdr:colOff>22860</xdr:colOff>
      <xdr:row>12</xdr:row>
      <xdr:rowOff>38100</xdr:rowOff>
    </xdr:to>
    <xdr:pic>
      <xdr:nvPicPr>
        <xdr:cNvPr id="19461" name="Grafik 1">
          <a:extLst>
            <a:ext uri="{FF2B5EF4-FFF2-40B4-BE49-F238E27FC236}">
              <a16:creationId xmlns:a16="http://schemas.microsoft.com/office/drawing/2014/main" id="{D52B9DDE-0F9D-44EC-A06D-B557F1BF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980" y="2194560"/>
          <a:ext cx="380238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4</xdr:col>
      <xdr:colOff>7620</xdr:colOff>
      <xdr:row>19</xdr:row>
      <xdr:rowOff>22860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6EA3450-52F9-4F32-9144-8E2A81BA8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4240" y="2438400"/>
          <a:ext cx="1386840" cy="86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BAE0-BEB2-475A-BC5C-2410583D419E}">
  <dimension ref="A1:K20"/>
  <sheetViews>
    <sheetView workbookViewId="0">
      <selection activeCell="D10" sqref="D10:D15"/>
    </sheetView>
  </sheetViews>
  <sheetFormatPr baseColWidth="10" defaultColWidth="11.5703125" defaultRowHeight="15.75" x14ac:dyDescent="0.25"/>
  <cols>
    <col min="1" max="2" width="15.7109375" style="142" bestFit="1" customWidth="1"/>
    <col min="3" max="3" width="14.28515625" style="142" bestFit="1" customWidth="1"/>
    <col min="4" max="4" width="13.7109375" style="142" bestFit="1" customWidth="1"/>
    <col min="5" max="5" width="13.85546875" style="142" customWidth="1"/>
    <col min="6" max="7" width="15.7109375" style="142" bestFit="1" customWidth="1"/>
    <col min="8" max="8" width="14.28515625" style="142" bestFit="1" customWidth="1"/>
    <col min="9" max="9" width="13.7109375" style="142" bestFit="1" customWidth="1"/>
    <col min="10" max="16384" width="11.5703125" style="142"/>
  </cols>
  <sheetData>
    <row r="1" spans="1:11" ht="18.75" x14ac:dyDescent="0.3">
      <c r="A1" s="141" t="s">
        <v>121</v>
      </c>
    </row>
    <row r="3" spans="1:11" x14ac:dyDescent="0.25">
      <c r="A3" s="249" t="s">
        <v>217</v>
      </c>
      <c r="B3" s="249"/>
      <c r="C3" s="249"/>
      <c r="D3" s="249"/>
      <c r="E3" s="249"/>
      <c r="F3" s="249"/>
    </row>
    <row r="4" spans="1:11" x14ac:dyDescent="0.25">
      <c r="A4" s="143"/>
      <c r="B4" s="143"/>
      <c r="C4" s="143"/>
      <c r="D4" s="143"/>
      <c r="E4" s="143"/>
      <c r="F4" s="143"/>
    </row>
    <row r="5" spans="1:11" x14ac:dyDescent="0.25">
      <c r="A5" s="250" t="s">
        <v>218</v>
      </c>
      <c r="B5" s="250"/>
      <c r="C5" s="144">
        <v>0.04</v>
      </c>
      <c r="D5" s="143"/>
      <c r="E5" s="143"/>
      <c r="F5" s="143"/>
    </row>
    <row r="6" spans="1:11" x14ac:dyDescent="0.25">
      <c r="A6" s="250" t="s">
        <v>219</v>
      </c>
      <c r="B6" s="250"/>
      <c r="C6" s="144">
        <v>7.0000000000000007E-2</v>
      </c>
      <c r="D6" s="143"/>
      <c r="E6" s="143"/>
      <c r="F6" s="143"/>
    </row>
    <row r="7" spans="1:11" x14ac:dyDescent="0.25">
      <c r="A7" s="250" t="s">
        <v>220</v>
      </c>
      <c r="B7" s="250"/>
      <c r="C7" s="144">
        <v>0.1</v>
      </c>
      <c r="D7" s="143"/>
      <c r="E7" s="143"/>
      <c r="F7" s="143"/>
      <c r="G7" s="143"/>
      <c r="H7" s="143"/>
      <c r="I7" s="143"/>
      <c r="J7" s="143"/>
    </row>
    <row r="9" spans="1:11" x14ac:dyDescent="0.25">
      <c r="A9" s="145" t="s">
        <v>13</v>
      </c>
      <c r="B9" s="145" t="s">
        <v>120</v>
      </c>
      <c r="C9" s="145" t="s">
        <v>221</v>
      </c>
      <c r="D9" s="145" t="s">
        <v>119</v>
      </c>
      <c r="F9" s="146"/>
      <c r="G9" s="146"/>
      <c r="H9" s="146"/>
      <c r="I9" s="146"/>
      <c r="K9" s="147"/>
    </row>
    <row r="10" spans="1:11" x14ac:dyDescent="0.25">
      <c r="A10" s="148" t="s">
        <v>222</v>
      </c>
      <c r="B10" s="149">
        <v>200000</v>
      </c>
      <c r="C10" s="248">
        <f t="shared" ref="C10:C15" si="0">IF(B10&lt;300000,0.04,IF(B10&lt;=600000,0.07,0.1))</f>
        <v>0.04</v>
      </c>
      <c r="D10" s="166">
        <f t="shared" ref="D10:D15" si="1">B10*C10</f>
        <v>8000</v>
      </c>
      <c r="G10" s="150"/>
      <c r="H10" s="151"/>
      <c r="I10" s="152"/>
      <c r="K10" s="147"/>
    </row>
    <row r="11" spans="1:11" x14ac:dyDescent="0.25">
      <c r="A11" s="148" t="s">
        <v>223</v>
      </c>
      <c r="B11" s="149">
        <v>700000</v>
      </c>
      <c r="C11" s="248">
        <f t="shared" si="0"/>
        <v>0.1</v>
      </c>
      <c r="D11" s="166">
        <f t="shared" si="1"/>
        <v>70000</v>
      </c>
      <c r="G11" s="150"/>
      <c r="H11" s="151"/>
      <c r="I11" s="152"/>
      <c r="K11" s="147"/>
    </row>
    <row r="12" spans="1:11" x14ac:dyDescent="0.25">
      <c r="A12" s="148" t="s">
        <v>224</v>
      </c>
      <c r="B12" s="149">
        <v>600000</v>
      </c>
      <c r="C12" s="248">
        <f t="shared" si="0"/>
        <v>7.0000000000000007E-2</v>
      </c>
      <c r="D12" s="166">
        <f t="shared" si="1"/>
        <v>42000.000000000007</v>
      </c>
      <c r="G12" s="150"/>
      <c r="H12" s="151"/>
      <c r="I12" s="152"/>
      <c r="K12" s="147"/>
    </row>
    <row r="13" spans="1:11" x14ac:dyDescent="0.25">
      <c r="A13" s="148" t="s">
        <v>225</v>
      </c>
      <c r="B13" s="149">
        <v>350000</v>
      </c>
      <c r="C13" s="248">
        <f t="shared" si="0"/>
        <v>7.0000000000000007E-2</v>
      </c>
      <c r="D13" s="166">
        <f t="shared" si="1"/>
        <v>24500.000000000004</v>
      </c>
      <c r="G13" s="150"/>
      <c r="H13" s="151"/>
      <c r="I13" s="152"/>
      <c r="K13" s="147"/>
    </row>
    <row r="14" spans="1:11" x14ac:dyDescent="0.25">
      <c r="A14" s="148" t="s">
        <v>226</v>
      </c>
      <c r="B14" s="149">
        <v>270000</v>
      </c>
      <c r="C14" s="248">
        <f t="shared" si="0"/>
        <v>0.04</v>
      </c>
      <c r="D14" s="166">
        <f t="shared" si="1"/>
        <v>10800</v>
      </c>
      <c r="G14" s="150"/>
      <c r="H14" s="151"/>
      <c r="I14" s="152"/>
      <c r="K14" s="147"/>
    </row>
    <row r="15" spans="1:11" x14ac:dyDescent="0.25">
      <c r="A15" s="148" t="s">
        <v>227</v>
      </c>
      <c r="B15" s="149">
        <v>300000</v>
      </c>
      <c r="C15" s="248">
        <f t="shared" si="0"/>
        <v>7.0000000000000007E-2</v>
      </c>
      <c r="D15" s="166">
        <f t="shared" si="1"/>
        <v>21000.000000000004</v>
      </c>
      <c r="G15" s="150"/>
      <c r="H15" s="151"/>
      <c r="I15" s="152"/>
      <c r="K15" s="147"/>
    </row>
    <row r="16" spans="1:11" x14ac:dyDescent="0.25">
      <c r="B16" s="150"/>
      <c r="C16" s="150"/>
      <c r="H16" s="150"/>
      <c r="K16" s="147"/>
    </row>
    <row r="17" spans="1:8" x14ac:dyDescent="0.25">
      <c r="B17" s="150"/>
      <c r="C17" s="150"/>
      <c r="H17" s="150"/>
    </row>
    <row r="18" spans="1:8" x14ac:dyDescent="0.25">
      <c r="A18" s="146" t="s">
        <v>52</v>
      </c>
    </row>
    <row r="19" spans="1:8" x14ac:dyDescent="0.25">
      <c r="G19" s="150"/>
    </row>
    <row r="20" spans="1:8" x14ac:dyDescent="0.25">
      <c r="G20" s="150"/>
    </row>
  </sheetData>
  <mergeCells count="4">
    <mergeCell ref="A3:F3"/>
    <mergeCell ref="A5:B5"/>
    <mergeCell ref="A6:B6"/>
    <mergeCell ref="A7:B7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7B2D-BFAB-45FD-B811-F1E34D4CB502}">
  <dimension ref="A1:E19"/>
  <sheetViews>
    <sheetView workbookViewId="0">
      <selection activeCell="C11" sqref="C11:C19"/>
    </sheetView>
  </sheetViews>
  <sheetFormatPr baseColWidth="10" defaultColWidth="11.5703125" defaultRowHeight="15.75" x14ac:dyDescent="0.25"/>
  <cols>
    <col min="1" max="1" width="15" style="153" customWidth="1"/>
    <col min="2" max="2" width="16.5703125" style="153" customWidth="1"/>
    <col min="3" max="3" width="16" style="153" customWidth="1"/>
    <col min="4" max="4" width="11.5703125" style="153"/>
    <col min="5" max="5" width="15" style="153" customWidth="1"/>
    <col min="6" max="6" width="16.5703125" style="153" customWidth="1"/>
    <col min="7" max="7" width="16" style="153" customWidth="1"/>
    <col min="8" max="16384" width="11.5703125" style="153"/>
  </cols>
  <sheetData>
    <row r="1" spans="1:5" ht="18.75" x14ac:dyDescent="0.3">
      <c r="A1" s="162" t="s">
        <v>48</v>
      </c>
    </row>
    <row r="3" spans="1:5" x14ac:dyDescent="0.25">
      <c r="A3" s="154" t="s">
        <v>247</v>
      </c>
    </row>
    <row r="4" spans="1:5" x14ac:dyDescent="0.25">
      <c r="A4" s="154"/>
    </row>
    <row r="5" spans="1:5" x14ac:dyDescent="0.25">
      <c r="A5" s="251" t="s">
        <v>246</v>
      </c>
      <c r="B5" s="251"/>
      <c r="C5" s="251"/>
    </row>
    <row r="6" spans="1:5" x14ac:dyDescent="0.25">
      <c r="A6" s="251" t="s">
        <v>245</v>
      </c>
      <c r="B6" s="251"/>
      <c r="C6" s="251"/>
    </row>
    <row r="7" spans="1:5" x14ac:dyDescent="0.25">
      <c r="A7" s="251" t="s">
        <v>244</v>
      </c>
      <c r="B7" s="251"/>
      <c r="C7" s="251"/>
    </row>
    <row r="8" spans="1:5" x14ac:dyDescent="0.25">
      <c r="A8" s="251" t="s">
        <v>243</v>
      </c>
      <c r="B8" s="251"/>
      <c r="C8" s="251"/>
    </row>
    <row r="9" spans="1:5" x14ac:dyDescent="0.25">
      <c r="E9" s="154" t="s">
        <v>52</v>
      </c>
    </row>
    <row r="10" spans="1:5" ht="14.45" customHeight="1" x14ac:dyDescent="0.25">
      <c r="A10" s="165" t="s">
        <v>13</v>
      </c>
      <c r="B10" s="165" t="s">
        <v>28</v>
      </c>
      <c r="C10" s="165" t="s">
        <v>29</v>
      </c>
    </row>
    <row r="11" spans="1:5" ht="14.45" customHeight="1" x14ac:dyDescent="0.25">
      <c r="A11" s="164" t="s">
        <v>30</v>
      </c>
      <c r="B11" s="163">
        <v>3</v>
      </c>
      <c r="C11" s="167">
        <f>IF(B11=3,1500,IF(B11=2,1100,750))</f>
        <v>1500</v>
      </c>
    </row>
    <row r="12" spans="1:5" x14ac:dyDescent="0.25">
      <c r="A12" s="164" t="s">
        <v>31</v>
      </c>
      <c r="B12" s="163">
        <v>1</v>
      </c>
      <c r="C12" s="167">
        <f t="shared" ref="C12:C19" si="0">IF(B12=3,1500,IF(B12=2,1100,750))</f>
        <v>750</v>
      </c>
    </row>
    <row r="13" spans="1:5" x14ac:dyDescent="0.25">
      <c r="A13" s="164" t="s">
        <v>32</v>
      </c>
      <c r="B13" s="163">
        <v>2</v>
      </c>
      <c r="C13" s="167">
        <f t="shared" si="0"/>
        <v>1100</v>
      </c>
    </row>
    <row r="14" spans="1:5" x14ac:dyDescent="0.25">
      <c r="A14" s="164" t="s">
        <v>33</v>
      </c>
      <c r="B14" s="163">
        <v>1</v>
      </c>
      <c r="C14" s="167">
        <f t="shared" si="0"/>
        <v>750</v>
      </c>
    </row>
    <row r="15" spans="1:5" x14ac:dyDescent="0.25">
      <c r="A15" s="164" t="s">
        <v>34</v>
      </c>
      <c r="B15" s="163">
        <v>3</v>
      </c>
      <c r="C15" s="167">
        <f t="shared" si="0"/>
        <v>1500</v>
      </c>
    </row>
    <row r="16" spans="1:5" x14ac:dyDescent="0.25">
      <c r="A16" s="164" t="s">
        <v>35</v>
      </c>
      <c r="B16" s="163">
        <v>2</v>
      </c>
      <c r="C16" s="167">
        <f t="shared" si="0"/>
        <v>1100</v>
      </c>
    </row>
    <row r="17" spans="1:3" x14ac:dyDescent="0.25">
      <c r="A17" s="164" t="s">
        <v>36</v>
      </c>
      <c r="B17" s="163">
        <v>1</v>
      </c>
      <c r="C17" s="167">
        <f t="shared" si="0"/>
        <v>750</v>
      </c>
    </row>
    <row r="18" spans="1:3" x14ac:dyDescent="0.25">
      <c r="A18" s="164" t="s">
        <v>37</v>
      </c>
      <c r="B18" s="163">
        <v>3</v>
      </c>
      <c r="C18" s="167">
        <f t="shared" si="0"/>
        <v>1500</v>
      </c>
    </row>
    <row r="19" spans="1:3" x14ac:dyDescent="0.25">
      <c r="A19" s="164" t="s">
        <v>38</v>
      </c>
      <c r="B19" s="163">
        <v>2</v>
      </c>
      <c r="C19" s="167">
        <f t="shared" si="0"/>
        <v>1100</v>
      </c>
    </row>
  </sheetData>
  <mergeCells count="4">
    <mergeCell ref="A8:C8"/>
    <mergeCell ref="A5:C5"/>
    <mergeCell ref="A6:C6"/>
    <mergeCell ref="A7:C7"/>
  </mergeCells>
  <pageMargins left="0.7" right="0.7" top="0.78740157499999996" bottom="0.78740157499999996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961C-1955-46AC-ADB9-6D9A52A98865}">
  <dimension ref="A1:E19"/>
  <sheetViews>
    <sheetView workbookViewId="0">
      <selection activeCell="E11" sqref="E11:E15"/>
    </sheetView>
  </sheetViews>
  <sheetFormatPr baseColWidth="10" defaultColWidth="11.5703125" defaultRowHeight="15.75" x14ac:dyDescent="0.25"/>
  <cols>
    <col min="1" max="1" width="20.7109375" style="153" bestFit="1" customWidth="1"/>
    <col min="2" max="2" width="15.42578125" style="153" bestFit="1" customWidth="1"/>
    <col min="3" max="3" width="16" style="153" customWidth="1"/>
    <col min="4" max="4" width="15.7109375" style="153" customWidth="1"/>
    <col min="5" max="5" width="13.28515625" style="153" bestFit="1" customWidth="1"/>
    <col min="6" max="6" width="9" style="153" customWidth="1"/>
    <col min="7" max="7" width="20.7109375" style="153" bestFit="1" customWidth="1"/>
    <col min="8" max="8" width="15.42578125" style="153" customWidth="1"/>
    <col min="9" max="9" width="16" style="153" customWidth="1"/>
    <col min="10" max="10" width="15.7109375" style="153" customWidth="1"/>
    <col min="11" max="11" width="12.85546875" style="153" customWidth="1"/>
    <col min="12" max="16384" width="11.5703125" style="153"/>
  </cols>
  <sheetData>
    <row r="1" spans="1:5" ht="18.75" x14ac:dyDescent="0.3">
      <c r="A1" s="162" t="s">
        <v>125</v>
      </c>
    </row>
    <row r="3" spans="1:5" x14ac:dyDescent="0.25">
      <c r="A3" s="256" t="s">
        <v>242</v>
      </c>
      <c r="B3" s="257"/>
      <c r="C3" s="254" t="s">
        <v>241</v>
      </c>
      <c r="D3" s="260" t="s">
        <v>240</v>
      </c>
    </row>
    <row r="4" spans="1:5" x14ac:dyDescent="0.25">
      <c r="A4" s="258"/>
      <c r="B4" s="259"/>
      <c r="C4" s="255"/>
      <c r="D4" s="261"/>
    </row>
    <row r="5" spans="1:5" x14ac:dyDescent="0.25">
      <c r="A5" s="160" t="s">
        <v>239</v>
      </c>
      <c r="B5" s="159">
        <v>1000</v>
      </c>
      <c r="C5" s="158">
        <v>0.05</v>
      </c>
      <c r="D5" s="161">
        <v>20</v>
      </c>
    </row>
    <row r="6" spans="1:5" x14ac:dyDescent="0.25">
      <c r="A6" s="160" t="s">
        <v>238</v>
      </c>
      <c r="B6" s="159">
        <v>2000</v>
      </c>
      <c r="C6" s="158">
        <v>0.1</v>
      </c>
    </row>
    <row r="7" spans="1:5" x14ac:dyDescent="0.25">
      <c r="A7" s="160" t="s">
        <v>237</v>
      </c>
      <c r="B7" s="159">
        <v>2000</v>
      </c>
      <c r="C7" s="158">
        <v>0.12</v>
      </c>
    </row>
    <row r="8" spans="1:5" x14ac:dyDescent="0.25">
      <c r="A8" s="154"/>
      <c r="C8" s="157"/>
    </row>
    <row r="9" spans="1:5" ht="14.45" customHeight="1" x14ac:dyDescent="0.25">
      <c r="A9" s="253" t="s">
        <v>92</v>
      </c>
      <c r="B9" s="253" t="s">
        <v>236</v>
      </c>
      <c r="C9" s="252" t="s">
        <v>235</v>
      </c>
      <c r="D9" s="253" t="s">
        <v>234</v>
      </c>
      <c r="E9" s="252" t="s">
        <v>233</v>
      </c>
    </row>
    <row r="10" spans="1:5" ht="14.45" customHeight="1" x14ac:dyDescent="0.25">
      <c r="A10" s="253"/>
      <c r="B10" s="253"/>
      <c r="C10" s="252"/>
      <c r="D10" s="253"/>
      <c r="E10" s="252"/>
    </row>
    <row r="11" spans="1:5" x14ac:dyDescent="0.25">
      <c r="A11" s="156" t="s">
        <v>232</v>
      </c>
      <c r="B11" s="155">
        <v>2000</v>
      </c>
      <c r="C11" s="168">
        <f>$D$5*B11</f>
        <v>40000</v>
      </c>
      <c r="D11" s="167">
        <f>IF(B11&gt;=$B$7,C11*0.12,IF(B11&lt;=$B$5,C11*0.05,C11*0.1))</f>
        <v>4800</v>
      </c>
      <c r="E11" s="167">
        <f>C11-D11</f>
        <v>35200</v>
      </c>
    </row>
    <row r="12" spans="1:5" x14ac:dyDescent="0.25">
      <c r="A12" s="156" t="s">
        <v>231</v>
      </c>
      <c r="B12" s="155">
        <v>700</v>
      </c>
      <c r="C12" s="168">
        <f>$D$5*B12</f>
        <v>14000</v>
      </c>
      <c r="D12" s="167">
        <f>IF(B12&gt;=$B$7,C12*0.12,IF(B12&lt;=$B$5,C12*0.05,C12*0.1))</f>
        <v>700</v>
      </c>
      <c r="E12" s="167">
        <f>C12-D12</f>
        <v>13300</v>
      </c>
    </row>
    <row r="13" spans="1:5" x14ac:dyDescent="0.25">
      <c r="A13" s="156" t="s">
        <v>230</v>
      </c>
      <c r="B13" s="155">
        <v>1000</v>
      </c>
      <c r="C13" s="168">
        <f>$D$5*B13</f>
        <v>20000</v>
      </c>
      <c r="D13" s="167">
        <f>IF(B13&gt;=$B$7,C13*0.12,IF(B13&lt;=$B$5,C13*0.05,C13*0.1))</f>
        <v>1000</v>
      </c>
      <c r="E13" s="167">
        <f>C13-D13</f>
        <v>19000</v>
      </c>
    </row>
    <row r="14" spans="1:5" x14ac:dyDescent="0.25">
      <c r="A14" s="156" t="s">
        <v>229</v>
      </c>
      <c r="B14" s="155">
        <v>2500</v>
      </c>
      <c r="C14" s="168">
        <f>$D$5*B14</f>
        <v>50000</v>
      </c>
      <c r="D14" s="167">
        <f>IF(B14&gt;=$B$7,C14*0.12,IF(B14&lt;=$B$5,C14*0.05,C14*0.1))</f>
        <v>6000</v>
      </c>
      <c r="E14" s="167">
        <f>C14-D14</f>
        <v>44000</v>
      </c>
    </row>
    <row r="15" spans="1:5" x14ac:dyDescent="0.25">
      <c r="A15" s="156" t="s">
        <v>228</v>
      </c>
      <c r="B15" s="155">
        <v>1700</v>
      </c>
      <c r="C15" s="168">
        <f>$D$5*B15</f>
        <v>34000</v>
      </c>
      <c r="D15" s="167">
        <f>IF(B15&gt;=$B$7,C15*0.12,IF(B15&lt;=$B$5,C15*0.05,C15*0.1))</f>
        <v>3400</v>
      </c>
      <c r="E15" s="167">
        <f>C15-D15</f>
        <v>30600</v>
      </c>
    </row>
    <row r="19" spans="1:1" x14ac:dyDescent="0.25">
      <c r="A19" s="154" t="s">
        <v>52</v>
      </c>
    </row>
  </sheetData>
  <mergeCells count="8">
    <mergeCell ref="E9:E10"/>
    <mergeCell ref="A9:A10"/>
    <mergeCell ref="B9:B10"/>
    <mergeCell ref="D9:D10"/>
    <mergeCell ref="C3:C4"/>
    <mergeCell ref="A3:B4"/>
    <mergeCell ref="D3:D4"/>
    <mergeCell ref="C9:C10"/>
  </mergeCells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A97-11DB-4EB5-A114-1D6E3C18C704}">
  <dimension ref="A1:J14"/>
  <sheetViews>
    <sheetView workbookViewId="0">
      <selection activeCell="C4" sqref="C4"/>
    </sheetView>
  </sheetViews>
  <sheetFormatPr baseColWidth="10" defaultRowHeight="12.75" x14ac:dyDescent="0.2"/>
  <cols>
    <col min="2" max="2" width="15.7109375" customWidth="1"/>
    <col min="3" max="3" width="16" customWidth="1"/>
    <col min="4" max="4" width="16.42578125" customWidth="1"/>
  </cols>
  <sheetData>
    <row r="1" spans="1:10" ht="15" customHeight="1" x14ac:dyDescent="0.2">
      <c r="A1" s="262" t="s">
        <v>125</v>
      </c>
      <c r="B1" s="263"/>
      <c r="C1" s="263"/>
      <c r="D1" s="263"/>
      <c r="E1" s="32"/>
      <c r="F1" s="264" t="s">
        <v>266</v>
      </c>
      <c r="G1" s="264"/>
      <c r="H1" s="264"/>
      <c r="I1" s="264"/>
      <c r="J1" s="264"/>
    </row>
    <row r="2" spans="1:10" ht="15" x14ac:dyDescent="0.2">
      <c r="A2" s="32"/>
      <c r="B2" s="32"/>
      <c r="C2" s="32"/>
      <c r="D2" s="32"/>
      <c r="E2" s="32"/>
      <c r="F2" s="264"/>
      <c r="G2" s="264"/>
      <c r="H2" s="264"/>
      <c r="I2" s="264"/>
      <c r="J2" s="264"/>
    </row>
    <row r="3" spans="1:10" ht="15" x14ac:dyDescent="0.2">
      <c r="A3" s="74" t="s">
        <v>0</v>
      </c>
      <c r="B3" s="74" t="s">
        <v>120</v>
      </c>
      <c r="C3" s="74" t="s">
        <v>124</v>
      </c>
      <c r="D3" s="74" t="s">
        <v>123</v>
      </c>
      <c r="E3" s="32"/>
      <c r="F3" s="264"/>
      <c r="G3" s="264"/>
      <c r="H3" s="264"/>
      <c r="I3" s="264"/>
      <c r="J3" s="264"/>
    </row>
    <row r="4" spans="1:10" ht="15" x14ac:dyDescent="0.2">
      <c r="A4" s="32" t="s">
        <v>118</v>
      </c>
      <c r="B4" s="73">
        <v>400</v>
      </c>
      <c r="C4" s="174"/>
      <c r="D4" s="175"/>
      <c r="E4" s="32"/>
      <c r="F4" s="264"/>
      <c r="G4" s="264"/>
      <c r="H4" s="264"/>
      <c r="I4" s="264"/>
      <c r="J4" s="264"/>
    </row>
    <row r="5" spans="1:10" ht="15" x14ac:dyDescent="0.2">
      <c r="A5" s="32" t="s">
        <v>117</v>
      </c>
      <c r="B5" s="73">
        <v>3500</v>
      </c>
      <c r="C5" s="174"/>
      <c r="D5" s="175"/>
      <c r="E5" s="32"/>
    </row>
    <row r="6" spans="1:10" ht="15" x14ac:dyDescent="0.2">
      <c r="A6" s="32" t="s">
        <v>116</v>
      </c>
      <c r="B6" s="73">
        <v>9999</v>
      </c>
      <c r="C6" s="174"/>
      <c r="D6" s="175"/>
      <c r="E6" s="32"/>
    </row>
    <row r="7" spans="1:10" ht="15" x14ac:dyDescent="0.2">
      <c r="A7" s="32" t="s">
        <v>115</v>
      </c>
      <c r="B7" s="73">
        <v>25000</v>
      </c>
      <c r="C7" s="174"/>
      <c r="D7" s="175"/>
      <c r="E7" s="32"/>
    </row>
    <row r="8" spans="1:10" ht="15" x14ac:dyDescent="0.2">
      <c r="A8" s="32" t="s">
        <v>114</v>
      </c>
      <c r="B8" s="73">
        <v>17000</v>
      </c>
      <c r="C8" s="174"/>
      <c r="D8" s="175"/>
      <c r="E8" s="32"/>
    </row>
    <row r="9" spans="1:10" ht="15" x14ac:dyDescent="0.2">
      <c r="A9" s="32" t="s">
        <v>113</v>
      </c>
      <c r="B9" s="73">
        <v>2000</v>
      </c>
      <c r="C9" s="174"/>
      <c r="D9" s="175"/>
      <c r="E9" s="32"/>
    </row>
    <row r="10" spans="1:10" ht="15" x14ac:dyDescent="0.2">
      <c r="A10" s="32" t="s">
        <v>112</v>
      </c>
      <c r="B10" s="73">
        <v>300</v>
      </c>
      <c r="C10" s="174"/>
      <c r="D10" s="175"/>
    </row>
    <row r="11" spans="1:10" ht="15" x14ac:dyDescent="0.2">
      <c r="A11" s="32" t="s">
        <v>122</v>
      </c>
      <c r="B11" s="73">
        <v>1400</v>
      </c>
      <c r="C11" s="174"/>
      <c r="D11" s="175"/>
    </row>
    <row r="14" spans="1:10" ht="15" x14ac:dyDescent="0.2">
      <c r="A14" s="40" t="s">
        <v>52</v>
      </c>
    </row>
  </sheetData>
  <mergeCells count="2">
    <mergeCell ref="A1:D1"/>
    <mergeCell ref="F1:J4"/>
  </mergeCells>
  <pageMargins left="0.78740157499999996" right="0.78740157499999996" top="0.984251969" bottom="0.984251969" header="0.4921259845" footer="0.492125984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D8F8-5C47-451D-B117-AC5C7E00F23A}">
  <dimension ref="A1:H24"/>
  <sheetViews>
    <sheetView workbookViewId="0">
      <selection activeCell="C7" sqref="C7:C24"/>
    </sheetView>
  </sheetViews>
  <sheetFormatPr baseColWidth="10" defaultRowHeight="12.75" x14ac:dyDescent="0.2"/>
  <cols>
    <col min="1" max="1" width="13.85546875" customWidth="1"/>
    <col min="2" max="2" width="23.85546875" customWidth="1"/>
    <col min="3" max="3" width="14.5703125" customWidth="1"/>
    <col min="4" max="4" width="4.140625" customWidth="1"/>
    <col min="5" max="5" width="13.85546875" customWidth="1"/>
    <col min="6" max="6" width="23.85546875" customWidth="1"/>
    <col min="7" max="7" width="14.28515625" customWidth="1"/>
    <col min="8" max="8" width="5.7109375" customWidth="1"/>
  </cols>
  <sheetData>
    <row r="1" spans="1:8" ht="17.45" customHeight="1" x14ac:dyDescent="0.25">
      <c r="A1" s="265" t="s">
        <v>147</v>
      </c>
      <c r="B1" s="265"/>
      <c r="C1" s="264" t="s">
        <v>267</v>
      </c>
      <c r="D1" s="264"/>
      <c r="E1" s="264"/>
      <c r="F1" s="264"/>
      <c r="G1" s="264"/>
      <c r="H1" s="264"/>
    </row>
    <row r="2" spans="1:8" ht="18" x14ac:dyDescent="0.25">
      <c r="A2" s="77"/>
      <c r="B2" s="76"/>
      <c r="C2" s="264"/>
      <c r="D2" s="264"/>
      <c r="E2" s="264"/>
      <c r="F2" s="264"/>
      <c r="G2" s="264"/>
      <c r="H2" s="264"/>
    </row>
    <row r="3" spans="1:8" x14ac:dyDescent="0.2">
      <c r="C3" s="264"/>
      <c r="D3" s="264"/>
      <c r="E3" s="264"/>
      <c r="F3" s="264"/>
      <c r="G3" s="264"/>
      <c r="H3" s="264"/>
    </row>
    <row r="4" spans="1:8" x14ac:dyDescent="0.2">
      <c r="C4" s="264"/>
      <c r="D4" s="264"/>
      <c r="E4" s="264"/>
      <c r="F4" s="264"/>
      <c r="G4" s="264"/>
      <c r="H4" s="264"/>
    </row>
    <row r="5" spans="1:8" x14ac:dyDescent="0.2">
      <c r="E5" s="51" t="s">
        <v>52</v>
      </c>
    </row>
    <row r="6" spans="1:8" ht="15" x14ac:dyDescent="0.2">
      <c r="A6" s="40" t="s">
        <v>146</v>
      </c>
      <c r="B6" s="40" t="s">
        <v>145</v>
      </c>
      <c r="C6" s="40" t="s">
        <v>144</v>
      </c>
    </row>
    <row r="7" spans="1:8" ht="15" x14ac:dyDescent="0.2">
      <c r="A7" s="32" t="s">
        <v>143</v>
      </c>
      <c r="B7" s="75">
        <v>150</v>
      </c>
      <c r="C7" s="176"/>
    </row>
    <row r="8" spans="1:8" ht="15" x14ac:dyDescent="0.2">
      <c r="A8" s="32" t="s">
        <v>142</v>
      </c>
      <c r="B8" s="75">
        <v>19500</v>
      </c>
      <c r="C8" s="176"/>
    </row>
    <row r="9" spans="1:8" ht="15" x14ac:dyDescent="0.2">
      <c r="A9" s="32" t="s">
        <v>141</v>
      </c>
      <c r="B9" s="75">
        <v>500</v>
      </c>
      <c r="C9" s="176"/>
    </row>
    <row r="10" spans="1:8" ht="15" x14ac:dyDescent="0.2">
      <c r="A10" s="32" t="s">
        <v>140</v>
      </c>
      <c r="B10" s="75">
        <v>7500</v>
      </c>
      <c r="C10" s="176"/>
    </row>
    <row r="11" spans="1:8" ht="15" x14ac:dyDescent="0.2">
      <c r="A11" s="32" t="s">
        <v>139</v>
      </c>
      <c r="B11" s="75">
        <v>10497</v>
      </c>
      <c r="C11" s="176"/>
    </row>
    <row r="12" spans="1:8" ht="15" x14ac:dyDescent="0.2">
      <c r="A12" s="32" t="s">
        <v>138</v>
      </c>
      <c r="B12" s="75">
        <v>1850</v>
      </c>
      <c r="C12" s="176"/>
    </row>
    <row r="13" spans="1:8" ht="15" x14ac:dyDescent="0.2">
      <c r="A13" s="32" t="s">
        <v>137</v>
      </c>
      <c r="B13" s="75">
        <v>15800</v>
      </c>
      <c r="C13" s="176"/>
    </row>
    <row r="14" spans="1:8" ht="15" x14ac:dyDescent="0.2">
      <c r="A14" s="32" t="s">
        <v>136</v>
      </c>
      <c r="B14" s="75">
        <v>4444</v>
      </c>
      <c r="C14" s="176"/>
    </row>
    <row r="15" spans="1:8" ht="15" x14ac:dyDescent="0.2">
      <c r="A15" s="32" t="s">
        <v>135</v>
      </c>
      <c r="B15" s="75">
        <v>1200</v>
      </c>
      <c r="C15" s="176"/>
    </row>
    <row r="16" spans="1:8" ht="15" x14ac:dyDescent="0.2">
      <c r="A16" s="32" t="s">
        <v>134</v>
      </c>
      <c r="B16" s="75">
        <v>6500</v>
      </c>
      <c r="C16" s="176"/>
    </row>
    <row r="17" spans="1:3" ht="15" x14ac:dyDescent="0.2">
      <c r="A17" s="32" t="s">
        <v>133</v>
      </c>
      <c r="B17" s="75">
        <v>19000</v>
      </c>
      <c r="C17" s="176"/>
    </row>
    <row r="18" spans="1:3" ht="15" x14ac:dyDescent="0.2">
      <c r="A18" s="32" t="s">
        <v>132</v>
      </c>
      <c r="B18" s="75">
        <v>1900</v>
      </c>
      <c r="C18" s="176"/>
    </row>
    <row r="19" spans="1:3" ht="15" x14ac:dyDescent="0.2">
      <c r="A19" s="32" t="s">
        <v>131</v>
      </c>
      <c r="B19" s="75">
        <v>1901</v>
      </c>
      <c r="C19" s="176"/>
    </row>
    <row r="20" spans="1:3" ht="15" x14ac:dyDescent="0.2">
      <c r="A20" s="32" t="s">
        <v>130</v>
      </c>
      <c r="B20" s="75">
        <v>200</v>
      </c>
      <c r="C20" s="176"/>
    </row>
    <row r="21" spans="1:3" ht="15" x14ac:dyDescent="0.2">
      <c r="A21" s="32" t="s">
        <v>129</v>
      </c>
      <c r="B21" s="75">
        <v>7400</v>
      </c>
      <c r="C21" s="176"/>
    </row>
    <row r="22" spans="1:3" ht="15" x14ac:dyDescent="0.2">
      <c r="A22" s="32" t="s">
        <v>128</v>
      </c>
      <c r="B22" s="75">
        <v>301</v>
      </c>
      <c r="C22" s="176"/>
    </row>
    <row r="23" spans="1:3" ht="15" x14ac:dyDescent="0.2">
      <c r="A23" s="32" t="s">
        <v>127</v>
      </c>
      <c r="B23" s="75">
        <v>50</v>
      </c>
      <c r="C23" s="176"/>
    </row>
    <row r="24" spans="1:3" ht="15" x14ac:dyDescent="0.2">
      <c r="A24" s="32" t="s">
        <v>126</v>
      </c>
      <c r="B24" s="75">
        <v>170</v>
      </c>
      <c r="C24" s="176"/>
    </row>
  </sheetData>
  <mergeCells count="2">
    <mergeCell ref="A1:B1"/>
    <mergeCell ref="C1:H4"/>
  </mergeCells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CF99-7DBF-4977-A6CB-8C719A2DB7BD}">
  <dimension ref="A1:I22"/>
  <sheetViews>
    <sheetView workbookViewId="0">
      <selection activeCell="C19" sqref="C19:C23"/>
    </sheetView>
  </sheetViews>
  <sheetFormatPr baseColWidth="10" defaultRowHeight="12.75" x14ac:dyDescent="0.2"/>
  <cols>
    <col min="4" max="4" width="18.5703125" bestFit="1" customWidth="1"/>
    <col min="5" max="5" width="5.5703125" customWidth="1"/>
    <col min="6" max="6" width="11.5703125" customWidth="1"/>
    <col min="8" max="8" width="11.28515625" customWidth="1"/>
    <col min="9" max="9" width="18.7109375" customWidth="1"/>
  </cols>
  <sheetData>
    <row r="1" spans="1:9" ht="15" x14ac:dyDescent="0.2">
      <c r="A1" s="96" t="s">
        <v>167</v>
      </c>
      <c r="B1" s="96"/>
      <c r="C1" s="79"/>
      <c r="D1" s="32"/>
      <c r="E1" s="32"/>
      <c r="F1" s="32"/>
      <c r="G1" s="32"/>
      <c r="H1" s="32"/>
      <c r="I1" s="32"/>
    </row>
    <row r="2" spans="1:9" ht="15" x14ac:dyDescent="0.2">
      <c r="A2" s="96" t="s">
        <v>166</v>
      </c>
      <c r="B2" s="96"/>
      <c r="C2" s="79"/>
      <c r="D2" s="32"/>
      <c r="E2" s="32"/>
      <c r="F2" s="32"/>
      <c r="G2" s="32"/>
      <c r="H2" s="32"/>
      <c r="I2" s="32"/>
    </row>
    <row r="3" spans="1:9" ht="15" x14ac:dyDescent="0.2">
      <c r="A3" s="96" t="s">
        <v>165</v>
      </c>
      <c r="B3" s="96"/>
      <c r="C3" s="79"/>
      <c r="D3" s="32"/>
      <c r="E3" s="32"/>
      <c r="F3" s="32"/>
      <c r="G3" s="32"/>
      <c r="H3" s="32"/>
      <c r="I3" s="32"/>
    </row>
    <row r="4" spans="1:9" ht="15" x14ac:dyDescent="0.2">
      <c r="A4" s="96"/>
      <c r="B4" s="96"/>
      <c r="C4" s="79"/>
      <c r="D4" s="32"/>
      <c r="E4" s="32"/>
      <c r="F4" s="32"/>
      <c r="G4" s="32"/>
      <c r="H4" s="32"/>
      <c r="I4" s="32"/>
    </row>
    <row r="5" spans="1:9" ht="15" x14ac:dyDescent="0.2">
      <c r="A5" s="98" t="s">
        <v>164</v>
      </c>
      <c r="B5" s="97"/>
      <c r="C5" s="79"/>
      <c r="D5" s="32"/>
      <c r="E5" s="32"/>
      <c r="F5" s="32"/>
      <c r="G5" s="32"/>
      <c r="H5" s="32"/>
      <c r="I5" s="32"/>
    </row>
    <row r="6" spans="1:9" ht="15" customHeight="1" x14ac:dyDescent="0.2">
      <c r="A6" s="266" t="s">
        <v>271</v>
      </c>
      <c r="B6" s="266"/>
      <c r="C6" s="266"/>
      <c r="D6" s="266"/>
      <c r="E6" s="266"/>
      <c r="F6" s="266"/>
      <c r="G6" s="266"/>
      <c r="H6" s="266"/>
      <c r="I6" s="266"/>
    </row>
    <row r="7" spans="1:9" ht="15" customHeight="1" x14ac:dyDescent="0.2">
      <c r="A7" s="266"/>
      <c r="B7" s="266"/>
      <c r="C7" s="266"/>
      <c r="D7" s="266"/>
      <c r="E7" s="266"/>
      <c r="F7" s="266"/>
      <c r="G7" s="266"/>
      <c r="H7" s="266"/>
      <c r="I7" s="266"/>
    </row>
    <row r="8" spans="1:9" ht="15" customHeight="1" x14ac:dyDescent="0.2">
      <c r="A8" s="266"/>
      <c r="B8" s="266"/>
      <c r="C8" s="266"/>
      <c r="D8" s="266"/>
      <c r="E8" s="266"/>
      <c r="F8" s="266"/>
      <c r="G8" s="266"/>
      <c r="H8" s="266"/>
      <c r="I8" s="266"/>
    </row>
    <row r="9" spans="1:9" ht="15" customHeight="1" x14ac:dyDescent="0.2">
      <c r="A9" s="266"/>
      <c r="B9" s="266"/>
      <c r="C9" s="266"/>
      <c r="D9" s="266"/>
      <c r="E9" s="266"/>
      <c r="F9" s="266"/>
      <c r="G9" s="266"/>
      <c r="H9" s="266"/>
      <c r="I9" s="266"/>
    </row>
    <row r="10" spans="1:9" ht="15" x14ac:dyDescent="0.2">
      <c r="A10" s="96"/>
      <c r="B10" s="96"/>
      <c r="C10" s="79"/>
      <c r="D10" s="32"/>
      <c r="E10" s="32"/>
      <c r="F10" s="32"/>
      <c r="G10" s="32"/>
      <c r="H10" s="32"/>
      <c r="I10" s="32"/>
    </row>
    <row r="11" spans="1:9" ht="15.75" thickBot="1" x14ac:dyDescent="0.25">
      <c r="A11" s="79"/>
      <c r="B11" s="95"/>
      <c r="C11" s="94"/>
      <c r="D11" s="32"/>
      <c r="E11" s="32"/>
      <c r="F11" s="40" t="s">
        <v>52</v>
      </c>
      <c r="G11" s="32"/>
      <c r="H11" s="32"/>
      <c r="I11" s="32"/>
    </row>
    <row r="12" spans="1:9" ht="16.5" thickTop="1" thickBot="1" x14ac:dyDescent="0.25">
      <c r="A12" s="93" t="s">
        <v>163</v>
      </c>
      <c r="B12" s="92" t="s">
        <v>162</v>
      </c>
      <c r="C12" s="91" t="s">
        <v>161</v>
      </c>
      <c r="D12" s="90" t="s">
        <v>160</v>
      </c>
      <c r="E12" s="32"/>
      <c r="G12" s="32"/>
      <c r="H12" s="32"/>
      <c r="I12" s="32"/>
    </row>
    <row r="13" spans="1:9" ht="15" x14ac:dyDescent="0.2">
      <c r="A13" s="89" t="s">
        <v>159</v>
      </c>
      <c r="B13" s="88" t="s">
        <v>158</v>
      </c>
      <c r="C13" s="87">
        <v>1.96</v>
      </c>
      <c r="D13" s="177"/>
      <c r="E13" s="32"/>
      <c r="F13" s="32"/>
      <c r="G13" s="32"/>
      <c r="H13" s="32"/>
      <c r="I13" s="32"/>
    </row>
    <row r="14" spans="1:9" ht="15" x14ac:dyDescent="0.2">
      <c r="A14" s="85" t="s">
        <v>157</v>
      </c>
      <c r="B14" s="84" t="s">
        <v>156</v>
      </c>
      <c r="C14" s="86">
        <v>1.8</v>
      </c>
      <c r="D14" s="177"/>
      <c r="E14" s="32"/>
      <c r="F14" s="32"/>
      <c r="G14" s="32"/>
      <c r="H14" s="32"/>
      <c r="I14" s="32"/>
    </row>
    <row r="15" spans="1:9" ht="15" x14ac:dyDescent="0.2">
      <c r="A15" s="85" t="s">
        <v>155</v>
      </c>
      <c r="B15" s="84" t="s">
        <v>154</v>
      </c>
      <c r="C15" s="83">
        <v>1.78</v>
      </c>
      <c r="D15" s="177"/>
      <c r="E15" s="32"/>
      <c r="F15" s="32"/>
      <c r="G15" s="32"/>
      <c r="H15" s="32"/>
      <c r="I15" s="32"/>
    </row>
    <row r="16" spans="1:9" ht="15" x14ac:dyDescent="0.2">
      <c r="A16" s="85" t="s">
        <v>153</v>
      </c>
      <c r="B16" s="84" t="s">
        <v>152</v>
      </c>
      <c r="C16" s="83">
        <v>1.75</v>
      </c>
      <c r="D16" s="177"/>
      <c r="E16" s="32"/>
      <c r="F16" s="32"/>
      <c r="G16" s="32"/>
      <c r="H16" s="32"/>
      <c r="I16" s="32"/>
    </row>
    <row r="17" spans="1:9" ht="15" x14ac:dyDescent="0.2">
      <c r="A17" s="85" t="s">
        <v>151</v>
      </c>
      <c r="B17" s="84" t="s">
        <v>150</v>
      </c>
      <c r="C17" s="83">
        <v>1.76</v>
      </c>
      <c r="D17" s="177"/>
      <c r="E17" s="32"/>
      <c r="F17" s="32"/>
      <c r="G17" s="32"/>
      <c r="H17" s="32"/>
      <c r="I17" s="32"/>
    </row>
    <row r="18" spans="1:9" ht="15.75" thickBot="1" x14ac:dyDescent="0.25">
      <c r="A18" s="82" t="s">
        <v>118</v>
      </c>
      <c r="B18" s="81" t="s">
        <v>149</v>
      </c>
      <c r="C18" s="80">
        <v>1.75</v>
      </c>
      <c r="D18" s="177"/>
      <c r="E18" s="32"/>
      <c r="F18" s="32"/>
      <c r="G18" s="32"/>
      <c r="H18" s="32"/>
      <c r="I18" s="32"/>
    </row>
    <row r="19" spans="1:9" ht="15.75" thickBot="1" x14ac:dyDescent="0.25">
      <c r="A19" s="271" t="s">
        <v>148</v>
      </c>
      <c r="B19" s="272"/>
      <c r="C19" s="178"/>
      <c r="D19" s="102"/>
      <c r="E19" s="32"/>
      <c r="F19" s="32"/>
      <c r="G19" s="32"/>
      <c r="H19" s="32"/>
      <c r="I19" s="32"/>
    </row>
    <row r="20" spans="1:9" ht="15.75" thickTop="1" x14ac:dyDescent="0.2">
      <c r="A20" s="267" t="s">
        <v>269</v>
      </c>
      <c r="B20" s="268"/>
      <c r="C20" s="179"/>
      <c r="D20" s="32"/>
      <c r="E20" s="32"/>
      <c r="F20" s="32"/>
      <c r="G20" s="32"/>
      <c r="H20" s="32"/>
      <c r="I20" s="32"/>
    </row>
    <row r="21" spans="1:9" ht="13.9" customHeight="1" x14ac:dyDescent="0.25">
      <c r="A21" s="267" t="s">
        <v>270</v>
      </c>
      <c r="B21" s="268"/>
      <c r="C21" s="179"/>
      <c r="D21" s="78"/>
      <c r="E21" s="78"/>
      <c r="F21" s="78"/>
    </row>
    <row r="22" spans="1:9" ht="13.15" customHeight="1" thickBot="1" x14ac:dyDescent="0.25">
      <c r="A22" s="269" t="s">
        <v>268</v>
      </c>
      <c r="B22" s="270"/>
      <c r="C22" s="180"/>
    </row>
  </sheetData>
  <mergeCells count="5">
    <mergeCell ref="A6:I9"/>
    <mergeCell ref="A20:B20"/>
    <mergeCell ref="A21:B21"/>
    <mergeCell ref="A22:B22"/>
    <mergeCell ref="A19:B19"/>
  </mergeCells>
  <pageMargins left="0.78740157499999996" right="0.78740157499999996" top="0.984251969" bottom="0.984251969" header="0.4921259845" footer="0.492125984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106E-364A-434D-A038-EF89C1523A93}">
  <dimension ref="A1:G29"/>
  <sheetViews>
    <sheetView topLeftCell="A3" workbookViewId="0">
      <selection activeCell="C11" sqref="C11:C30"/>
    </sheetView>
  </sheetViews>
  <sheetFormatPr baseColWidth="10" defaultRowHeight="12.75" x14ac:dyDescent="0.2"/>
  <cols>
    <col min="1" max="1" width="16.85546875" bestFit="1" customWidth="1"/>
    <col min="2" max="2" width="12.28515625" bestFit="1" customWidth="1"/>
    <col min="3" max="3" width="14.42578125" bestFit="1" customWidth="1"/>
    <col min="5" max="5" width="14.7109375" customWidth="1"/>
  </cols>
  <sheetData>
    <row r="1" spans="1:7" ht="15" customHeight="1" x14ac:dyDescent="0.2">
      <c r="A1" s="273" t="s">
        <v>272</v>
      </c>
      <c r="B1" s="273"/>
      <c r="C1" s="273"/>
      <c r="D1" s="273"/>
      <c r="E1" s="273"/>
      <c r="F1" s="273"/>
      <c r="G1" s="182"/>
    </row>
    <row r="2" spans="1:7" ht="15" customHeight="1" x14ac:dyDescent="0.2">
      <c r="A2" s="273"/>
      <c r="B2" s="273"/>
      <c r="C2" s="273"/>
      <c r="D2" s="273"/>
      <c r="E2" s="273"/>
      <c r="F2" s="273"/>
      <c r="G2" s="182"/>
    </row>
    <row r="3" spans="1:7" ht="15" customHeight="1" thickBot="1" x14ac:dyDescent="0.25">
      <c r="A3" s="273"/>
      <c r="B3" s="273"/>
      <c r="C3" s="273"/>
      <c r="D3" s="273"/>
      <c r="E3" s="273"/>
      <c r="F3" s="273"/>
      <c r="G3" s="182"/>
    </row>
    <row r="4" spans="1:7" ht="15" customHeight="1" x14ac:dyDescent="0.2">
      <c r="A4" s="183" t="s">
        <v>63</v>
      </c>
      <c r="B4" s="184" t="s">
        <v>168</v>
      </c>
      <c r="D4" s="274" t="s">
        <v>279</v>
      </c>
      <c r="E4" s="274"/>
      <c r="F4" s="274"/>
      <c r="G4" s="182"/>
    </row>
    <row r="5" spans="1:7" ht="15" customHeight="1" x14ac:dyDescent="0.2">
      <c r="A5" s="185" t="s">
        <v>273</v>
      </c>
      <c r="B5" s="186" t="s">
        <v>274</v>
      </c>
      <c r="C5" s="190"/>
      <c r="D5" s="274"/>
      <c r="E5" s="274"/>
      <c r="F5" s="274"/>
    </row>
    <row r="6" spans="1:7" ht="13.15" customHeight="1" x14ac:dyDescent="0.2">
      <c r="A6" s="187" t="s">
        <v>276</v>
      </c>
      <c r="B6" s="186" t="s">
        <v>275</v>
      </c>
      <c r="C6" s="190"/>
      <c r="D6" s="274"/>
      <c r="E6" s="274"/>
      <c r="F6" s="274"/>
    </row>
    <row r="7" spans="1:7" ht="13.5" thickBot="1" x14ac:dyDescent="0.25">
      <c r="A7" s="188" t="s">
        <v>277</v>
      </c>
      <c r="B7" s="189" t="s">
        <v>278</v>
      </c>
    </row>
    <row r="8" spans="1:7" ht="15" x14ac:dyDescent="0.2">
      <c r="A8" s="182"/>
      <c r="B8" s="182"/>
      <c r="C8" s="182"/>
      <c r="D8" s="182"/>
      <c r="E8" s="182"/>
      <c r="F8" s="182"/>
      <c r="G8" s="182"/>
    </row>
    <row r="9" spans="1:7" ht="15" x14ac:dyDescent="0.2">
      <c r="D9" s="32"/>
      <c r="E9" s="40" t="s">
        <v>52</v>
      </c>
    </row>
    <row r="10" spans="1:7" ht="15" x14ac:dyDescent="0.2">
      <c r="A10" s="101" t="s">
        <v>169</v>
      </c>
      <c r="B10" s="101" t="s">
        <v>63</v>
      </c>
      <c r="C10" s="181" t="s">
        <v>168</v>
      </c>
      <c r="D10" s="32"/>
      <c r="E10" s="32"/>
    </row>
    <row r="11" spans="1:7" ht="15" x14ac:dyDescent="0.2">
      <c r="A11" s="100">
        <v>1234</v>
      </c>
      <c r="B11" s="99">
        <v>17</v>
      </c>
      <c r="C11" s="176"/>
      <c r="D11" s="32"/>
      <c r="E11" s="32"/>
    </row>
    <row r="12" spans="1:7" ht="15" x14ac:dyDescent="0.2">
      <c r="A12" s="100">
        <v>1345</v>
      </c>
      <c r="B12" s="99">
        <v>19</v>
      </c>
      <c r="C12" s="176"/>
      <c r="D12" s="32"/>
      <c r="E12" s="32"/>
    </row>
    <row r="13" spans="1:7" ht="15" x14ac:dyDescent="0.2">
      <c r="A13" s="100">
        <v>1456</v>
      </c>
      <c r="B13" s="99">
        <v>16</v>
      </c>
      <c r="C13" s="176"/>
      <c r="D13" s="32"/>
      <c r="E13" s="32"/>
    </row>
    <row r="14" spans="1:7" ht="15" x14ac:dyDescent="0.2">
      <c r="A14" s="100">
        <v>1567</v>
      </c>
      <c r="B14" s="99">
        <v>18</v>
      </c>
      <c r="C14" s="176"/>
      <c r="D14" s="32"/>
      <c r="E14" s="32"/>
    </row>
    <row r="15" spans="1:7" ht="15" x14ac:dyDescent="0.2">
      <c r="A15" s="100">
        <v>2345</v>
      </c>
      <c r="B15" s="99">
        <v>16</v>
      </c>
      <c r="C15" s="176"/>
      <c r="D15" s="32"/>
      <c r="E15" s="32"/>
    </row>
    <row r="16" spans="1:7" ht="15" x14ac:dyDescent="0.2">
      <c r="A16" s="100">
        <v>2365</v>
      </c>
      <c r="B16" s="99">
        <v>14</v>
      </c>
      <c r="C16" s="176"/>
      <c r="D16" s="32"/>
      <c r="E16" s="32"/>
    </row>
    <row r="17" spans="1:5" ht="15" x14ac:dyDescent="0.2">
      <c r="A17" s="100">
        <v>3156</v>
      </c>
      <c r="B17" s="99">
        <v>10</v>
      </c>
      <c r="C17" s="176"/>
      <c r="D17" s="32"/>
      <c r="E17" s="32"/>
    </row>
    <row r="18" spans="1:5" ht="15" x14ac:dyDescent="0.2">
      <c r="A18" s="100">
        <v>3214</v>
      </c>
      <c r="B18" s="99">
        <v>10</v>
      </c>
      <c r="C18" s="176"/>
      <c r="D18" s="32"/>
      <c r="E18" s="32"/>
    </row>
    <row r="19" spans="1:5" ht="15" x14ac:dyDescent="0.2">
      <c r="A19" s="100">
        <v>3245</v>
      </c>
      <c r="B19" s="99">
        <v>20</v>
      </c>
      <c r="C19" s="176"/>
      <c r="D19" s="32"/>
      <c r="E19" s="32"/>
    </row>
    <row r="20" spans="1:5" ht="15" x14ac:dyDescent="0.2">
      <c r="A20" s="100">
        <v>3456</v>
      </c>
      <c r="B20" s="99">
        <v>8</v>
      </c>
      <c r="C20" s="176"/>
      <c r="D20" s="32"/>
      <c r="E20" s="32"/>
    </row>
    <row r="21" spans="1:5" ht="15" x14ac:dyDescent="0.2">
      <c r="A21" s="100">
        <v>3561</v>
      </c>
      <c r="B21" s="99">
        <v>12</v>
      </c>
      <c r="C21" s="176"/>
      <c r="D21" s="32"/>
      <c r="E21" s="32"/>
    </row>
    <row r="22" spans="1:5" ht="15" x14ac:dyDescent="0.2">
      <c r="A22" s="100">
        <v>3678</v>
      </c>
      <c r="B22" s="99">
        <v>15</v>
      </c>
      <c r="C22" s="176"/>
      <c r="D22" s="32"/>
      <c r="E22" s="32"/>
    </row>
    <row r="23" spans="1:5" ht="15" x14ac:dyDescent="0.2">
      <c r="A23" s="100">
        <v>3778</v>
      </c>
      <c r="B23" s="99">
        <v>7</v>
      </c>
      <c r="C23" s="176"/>
      <c r="D23" s="32"/>
      <c r="E23" s="32"/>
    </row>
    <row r="24" spans="1:5" ht="15" x14ac:dyDescent="0.2">
      <c r="A24" s="100">
        <v>4568</v>
      </c>
      <c r="B24" s="99">
        <v>8</v>
      </c>
      <c r="C24" s="176"/>
      <c r="D24" s="32"/>
      <c r="E24" s="32"/>
    </row>
    <row r="25" spans="1:5" ht="15" x14ac:dyDescent="0.2">
      <c r="A25" s="100">
        <v>4789</v>
      </c>
      <c r="B25" s="99">
        <v>14</v>
      </c>
      <c r="C25" s="176"/>
      <c r="D25" s="32"/>
      <c r="E25" s="32"/>
    </row>
    <row r="26" spans="1:5" ht="15" x14ac:dyDescent="0.2">
      <c r="A26" s="100">
        <v>5487</v>
      </c>
      <c r="B26" s="99">
        <v>16</v>
      </c>
      <c r="C26" s="176"/>
    </row>
    <row r="27" spans="1:5" ht="15" x14ac:dyDescent="0.2">
      <c r="A27" s="100">
        <v>5897</v>
      </c>
      <c r="B27" s="99">
        <v>8</v>
      </c>
      <c r="C27" s="176"/>
    </row>
    <row r="28" spans="1:5" ht="15" x14ac:dyDescent="0.2">
      <c r="A28" s="100">
        <v>8963</v>
      </c>
      <c r="B28" s="99">
        <v>13</v>
      </c>
      <c r="C28" s="176"/>
    </row>
    <row r="29" spans="1:5" ht="15" x14ac:dyDescent="0.2">
      <c r="A29" s="100">
        <v>8965</v>
      </c>
      <c r="B29" s="99">
        <v>12</v>
      </c>
      <c r="C29" s="176"/>
    </row>
  </sheetData>
  <sortState xmlns:xlrd2="http://schemas.microsoft.com/office/spreadsheetml/2017/richdata2" ref="A11:B29">
    <sortCondition ref="A11:A29"/>
  </sortState>
  <mergeCells count="2">
    <mergeCell ref="A1:F3"/>
    <mergeCell ref="D4:F6"/>
  </mergeCells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4A23-5AA7-4F0E-8A97-12BEAD62F2F0}">
  <dimension ref="A1:M24"/>
  <sheetViews>
    <sheetView workbookViewId="0">
      <selection activeCell="F5" sqref="F5:F8"/>
    </sheetView>
  </sheetViews>
  <sheetFormatPr baseColWidth="10" defaultRowHeight="12.75" x14ac:dyDescent="0.2"/>
  <cols>
    <col min="2" max="2" width="13.85546875" customWidth="1"/>
    <col min="3" max="3" width="22.5703125" customWidth="1"/>
    <col min="4" max="4" width="14.140625" customWidth="1"/>
    <col min="5" max="5" width="14.5703125" customWidth="1"/>
    <col min="6" max="6" width="13.28515625" bestFit="1" customWidth="1"/>
  </cols>
  <sheetData>
    <row r="1" spans="1:13" ht="15" customHeight="1" x14ac:dyDescent="0.2">
      <c r="A1" s="118"/>
      <c r="B1" s="32"/>
      <c r="C1" s="32"/>
      <c r="D1" s="32"/>
      <c r="E1" s="32"/>
      <c r="F1" s="32"/>
      <c r="G1" s="275" t="s">
        <v>280</v>
      </c>
      <c r="H1" s="275"/>
      <c r="I1" s="275"/>
      <c r="J1" s="275"/>
      <c r="K1" s="275"/>
      <c r="L1" s="275"/>
      <c r="M1" s="275"/>
    </row>
    <row r="2" spans="1:13" ht="18" x14ac:dyDescent="0.25">
      <c r="A2" s="117" t="s">
        <v>181</v>
      </c>
      <c r="B2" s="116"/>
      <c r="C2" s="32"/>
      <c r="D2" s="32"/>
      <c r="E2" s="32"/>
      <c r="F2" s="32"/>
      <c r="G2" s="275"/>
      <c r="H2" s="275"/>
      <c r="I2" s="275"/>
      <c r="J2" s="275"/>
      <c r="K2" s="275"/>
      <c r="L2" s="275"/>
      <c r="M2" s="275"/>
    </row>
    <row r="3" spans="1:13" ht="15.75" thickBot="1" x14ac:dyDescent="0.25">
      <c r="A3" s="40"/>
      <c r="B3" s="32"/>
      <c r="C3" s="32"/>
      <c r="D3" s="32"/>
      <c r="E3" s="32"/>
      <c r="F3" s="32"/>
      <c r="G3" s="275"/>
      <c r="H3" s="275"/>
      <c r="I3" s="275"/>
      <c r="J3" s="275"/>
      <c r="K3" s="275"/>
      <c r="L3" s="275"/>
      <c r="M3" s="275"/>
    </row>
    <row r="4" spans="1:13" ht="46.5" thickTop="1" thickBot="1" x14ac:dyDescent="0.25">
      <c r="A4" s="115" t="s">
        <v>180</v>
      </c>
      <c r="B4" s="114" t="s">
        <v>179</v>
      </c>
      <c r="C4" s="112" t="s">
        <v>178</v>
      </c>
      <c r="D4" s="113" t="s">
        <v>177</v>
      </c>
      <c r="E4" s="112" t="s">
        <v>176</v>
      </c>
      <c r="F4" s="111" t="s">
        <v>175</v>
      </c>
      <c r="G4" s="275"/>
      <c r="H4" s="275"/>
      <c r="I4" s="275"/>
      <c r="J4" s="275"/>
      <c r="K4" s="275"/>
      <c r="L4" s="275"/>
      <c r="M4" s="275"/>
    </row>
    <row r="5" spans="1:13" ht="15" x14ac:dyDescent="0.2">
      <c r="A5" s="110" t="s">
        <v>174</v>
      </c>
      <c r="B5" s="108">
        <v>15</v>
      </c>
      <c r="C5" s="192">
        <f>B5/$B$9</f>
        <v>0.21126760563380281</v>
      </c>
      <c r="D5" s="105">
        <v>11</v>
      </c>
      <c r="E5" s="192">
        <f>(B5-D5)/B5</f>
        <v>0.26666666666666666</v>
      </c>
      <c r="F5" s="177" t="str">
        <f>IF(E5&gt;15%,"rücksprache","")</f>
        <v>rücksprache</v>
      </c>
      <c r="G5" s="32"/>
      <c r="H5" s="32"/>
      <c r="I5" s="32"/>
      <c r="J5" s="32"/>
      <c r="K5" s="32"/>
    </row>
    <row r="6" spans="1:13" ht="15" x14ac:dyDescent="0.2">
      <c r="A6" s="109" t="s">
        <v>173</v>
      </c>
      <c r="B6" s="108">
        <v>24</v>
      </c>
      <c r="C6" s="192">
        <f t="shared" ref="C6:C8" si="0">B6/$B$9</f>
        <v>0.3380281690140845</v>
      </c>
      <c r="D6" s="105">
        <v>17</v>
      </c>
      <c r="E6" s="192">
        <f t="shared" ref="E6:E9" si="1">(B6-D6)/B6</f>
        <v>0.29166666666666669</v>
      </c>
      <c r="F6" s="177" t="str">
        <f t="shared" ref="F6:F8" si="2">IF(E6&gt;15%,"rücksprache","")</f>
        <v>rücksprache</v>
      </c>
      <c r="G6" s="32"/>
      <c r="H6" s="32"/>
      <c r="I6" s="32"/>
      <c r="J6" s="32"/>
      <c r="K6" s="32"/>
    </row>
    <row r="7" spans="1:13" ht="15" x14ac:dyDescent="0.2">
      <c r="A7" s="109" t="s">
        <v>172</v>
      </c>
      <c r="B7" s="108">
        <v>23</v>
      </c>
      <c r="C7" s="192">
        <f t="shared" si="0"/>
        <v>0.323943661971831</v>
      </c>
      <c r="D7" s="105">
        <v>20</v>
      </c>
      <c r="E7" s="192">
        <f t="shared" si="1"/>
        <v>0.13043478260869565</v>
      </c>
      <c r="F7" s="177" t="str">
        <f t="shared" si="2"/>
        <v/>
      </c>
      <c r="G7" s="32"/>
      <c r="H7" s="32"/>
      <c r="I7" s="32"/>
      <c r="J7" s="32"/>
      <c r="K7" s="32"/>
    </row>
    <row r="8" spans="1:13" ht="15.75" thickBot="1" x14ac:dyDescent="0.25">
      <c r="A8" s="107" t="s">
        <v>171</v>
      </c>
      <c r="B8" s="106">
        <v>9</v>
      </c>
      <c r="C8" s="192">
        <f t="shared" si="0"/>
        <v>0.12676056338028169</v>
      </c>
      <c r="D8" s="105">
        <v>8</v>
      </c>
      <c r="E8" s="192">
        <f t="shared" si="1"/>
        <v>0.1111111111111111</v>
      </c>
      <c r="F8" s="177" t="str">
        <f t="shared" si="2"/>
        <v/>
      </c>
      <c r="G8" s="32"/>
      <c r="H8" s="32"/>
      <c r="I8" s="32"/>
      <c r="J8" s="32"/>
      <c r="K8" s="32"/>
    </row>
    <row r="9" spans="1:13" ht="15.75" thickBot="1" x14ac:dyDescent="0.25">
      <c r="A9" s="104" t="s">
        <v>170</v>
      </c>
      <c r="B9" s="191">
        <f>SUM(B5:B8)</f>
        <v>71</v>
      </c>
      <c r="C9" s="103"/>
      <c r="D9" s="191">
        <f>SUM(D5:D8)</f>
        <v>56</v>
      </c>
      <c r="E9" s="192">
        <f t="shared" si="1"/>
        <v>0.21126760563380281</v>
      </c>
      <c r="F9" s="102"/>
      <c r="G9" s="32"/>
      <c r="H9" s="32"/>
      <c r="I9" s="32"/>
      <c r="J9" s="32"/>
      <c r="K9" s="32"/>
    </row>
    <row r="10" spans="1:13" ht="15.75" thickTop="1" x14ac:dyDescent="0.2">
      <c r="G10" s="32"/>
      <c r="H10" s="32"/>
      <c r="I10" s="32"/>
      <c r="J10" s="32"/>
      <c r="K10" s="32"/>
    </row>
    <row r="11" spans="1:13" ht="15" x14ac:dyDescent="0.2">
      <c r="A11" s="40" t="s">
        <v>52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3" ht="15" x14ac:dyDescent="0.2">
      <c r="B12" s="40"/>
      <c r="C12" s="40"/>
      <c r="D12" s="40"/>
      <c r="E12" s="40"/>
      <c r="F12" s="40"/>
      <c r="G12" s="40"/>
      <c r="H12" s="40"/>
      <c r="I12" s="32"/>
      <c r="J12" s="32"/>
      <c r="K12" s="32"/>
    </row>
    <row r="13" spans="1:13" ht="15" x14ac:dyDescent="0.2">
      <c r="A13" s="40"/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 spans="1:13" ht="15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spans="1:13" ht="15" x14ac:dyDescent="0.2">
      <c r="A15" s="40"/>
      <c r="B15" s="40"/>
      <c r="C15" s="40"/>
      <c r="D15" s="40"/>
      <c r="E15" s="40"/>
      <c r="F15" s="40"/>
      <c r="G15" s="40"/>
      <c r="H15" s="40"/>
      <c r="I15" s="32"/>
      <c r="J15" s="32"/>
      <c r="K15" s="32"/>
    </row>
    <row r="16" spans="1:13" ht="15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 spans="1:11" ht="15" x14ac:dyDescent="0.2">
      <c r="A17" s="40"/>
      <c r="B17" s="40"/>
      <c r="C17" s="40"/>
      <c r="D17" s="40"/>
      <c r="E17" s="40"/>
      <c r="F17" s="40"/>
      <c r="G17" s="40"/>
      <c r="H17" s="40"/>
      <c r="I17" s="32"/>
      <c r="J17" s="32"/>
      <c r="K17" s="32"/>
    </row>
    <row r="18" spans="1:11" ht="15" x14ac:dyDescent="0.2">
      <c r="A18" s="40"/>
      <c r="B18" s="40"/>
      <c r="C18" s="40"/>
      <c r="D18" s="40"/>
      <c r="E18" s="40"/>
      <c r="F18" s="40"/>
      <c r="G18" s="40"/>
      <c r="H18" s="40"/>
      <c r="I18" s="32"/>
      <c r="J18" s="32"/>
      <c r="K18" s="32"/>
    </row>
    <row r="19" spans="1:11" ht="15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ht="15" x14ac:dyDescent="0.2">
      <c r="A20" s="40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 ht="15" x14ac:dyDescent="0.2">
      <c r="A21" s="40" t="s">
        <v>281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 ht="15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 ht="15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 ht="15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</sheetData>
  <mergeCells count="1">
    <mergeCell ref="G1:M4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B139-12B5-4935-9F6E-C0E87A5A5960}">
  <dimension ref="A1:J13"/>
  <sheetViews>
    <sheetView workbookViewId="0">
      <selection activeCell="J4" sqref="J4:J7"/>
    </sheetView>
  </sheetViews>
  <sheetFormatPr baseColWidth="10" defaultRowHeight="12.75" x14ac:dyDescent="0.2"/>
  <cols>
    <col min="1" max="1" width="10" bestFit="1" customWidth="1"/>
    <col min="2" max="5" width="16.85546875" bestFit="1" customWidth="1"/>
    <col min="6" max="6" width="18.140625" bestFit="1" customWidth="1"/>
    <col min="7" max="7" width="16.85546875" bestFit="1" customWidth="1"/>
    <col min="8" max="8" width="9.42578125" customWidth="1"/>
    <col min="9" max="9" width="13.7109375" bestFit="1" customWidth="1"/>
    <col min="10" max="10" width="14" bestFit="1" customWidth="1"/>
  </cols>
  <sheetData>
    <row r="1" spans="1:10" ht="14.25" x14ac:dyDescent="0.2">
      <c r="A1" s="119"/>
      <c r="B1" s="119"/>
      <c r="C1" s="119"/>
      <c r="J1" s="119"/>
    </row>
    <row r="2" spans="1:10" ht="15" thickBot="1" x14ac:dyDescent="0.25">
      <c r="A2" s="276" t="s">
        <v>191</v>
      </c>
      <c r="B2" s="276"/>
      <c r="C2" s="119"/>
      <c r="D2" s="119"/>
      <c r="E2" s="119"/>
      <c r="F2" s="119"/>
      <c r="G2" s="119"/>
      <c r="H2" s="119"/>
      <c r="I2" s="119"/>
      <c r="J2" s="119"/>
    </row>
    <row r="3" spans="1:10" ht="44.25" thickTop="1" thickBot="1" x14ac:dyDescent="0.25">
      <c r="A3" s="140"/>
      <c r="B3" s="139">
        <v>2005</v>
      </c>
      <c r="C3" s="138">
        <v>2006</v>
      </c>
      <c r="D3" s="138">
        <v>2007</v>
      </c>
      <c r="E3" s="137">
        <v>2008</v>
      </c>
      <c r="F3" s="136" t="s">
        <v>190</v>
      </c>
      <c r="G3" s="135" t="s">
        <v>189</v>
      </c>
      <c r="H3" s="135" t="s">
        <v>188</v>
      </c>
      <c r="I3" s="135" t="s">
        <v>187</v>
      </c>
      <c r="J3" s="134" t="s">
        <v>284</v>
      </c>
    </row>
    <row r="4" spans="1:10" ht="15.75" thickTop="1" thickBot="1" x14ac:dyDescent="0.25">
      <c r="A4" s="127" t="s">
        <v>186</v>
      </c>
      <c r="B4" s="133">
        <v>550000</v>
      </c>
      <c r="C4" s="132">
        <v>420000</v>
      </c>
      <c r="D4" s="132">
        <v>270000</v>
      </c>
      <c r="E4" s="131">
        <v>160000</v>
      </c>
      <c r="F4" s="195">
        <f>SUM(B4:E4)</f>
        <v>1400000</v>
      </c>
      <c r="G4" s="195">
        <f>AVERAGE(B4:E4)</f>
        <v>350000</v>
      </c>
      <c r="H4" s="196">
        <f t="shared" ref="H4:H6" si="0">IF(G4&gt;375000,0.02,0)</f>
        <v>0</v>
      </c>
      <c r="I4" s="198">
        <f>IF(H4=0%,0,G4*H4)</f>
        <v>0</v>
      </c>
      <c r="J4" s="197">
        <f>F4/$F$8</f>
        <v>0.23163467902051621</v>
      </c>
    </row>
    <row r="5" spans="1:10" ht="15.75" thickTop="1" thickBot="1" x14ac:dyDescent="0.25">
      <c r="A5" s="127" t="s">
        <v>185</v>
      </c>
      <c r="B5" s="130">
        <v>452000</v>
      </c>
      <c r="C5" s="129">
        <v>253000</v>
      </c>
      <c r="D5" s="129">
        <v>321000</v>
      </c>
      <c r="E5" s="128">
        <v>479000</v>
      </c>
      <c r="F5" s="195">
        <f t="shared" ref="F5:F8" si="1">SUM(B5:E5)</f>
        <v>1505000</v>
      </c>
      <c r="G5" s="195">
        <f t="shared" ref="G5:G8" si="2">AVERAGE(B5:E5)</f>
        <v>376250</v>
      </c>
      <c r="H5" s="196">
        <f t="shared" si="0"/>
        <v>0.02</v>
      </c>
      <c r="I5" s="198">
        <f t="shared" ref="I5:I8" si="3">IF(H5=0%,0,G5*H5)</f>
        <v>7525</v>
      </c>
      <c r="J5" s="197">
        <f t="shared" ref="J5:J7" si="4">F5/$F$8</f>
        <v>0.24900727994705493</v>
      </c>
    </row>
    <row r="6" spans="1:10" ht="15.75" thickTop="1" thickBot="1" x14ac:dyDescent="0.25">
      <c r="A6" s="127" t="s">
        <v>184</v>
      </c>
      <c r="B6" s="130">
        <v>182000</v>
      </c>
      <c r="C6" s="129">
        <v>540000</v>
      </c>
      <c r="D6" s="129">
        <v>335000</v>
      </c>
      <c r="E6" s="128">
        <v>437000</v>
      </c>
      <c r="F6" s="195">
        <f t="shared" si="1"/>
        <v>1494000</v>
      </c>
      <c r="G6" s="195">
        <f t="shared" si="2"/>
        <v>373500</v>
      </c>
      <c r="H6" s="196">
        <f t="shared" si="0"/>
        <v>0</v>
      </c>
      <c r="I6" s="198">
        <f t="shared" si="3"/>
        <v>0</v>
      </c>
      <c r="J6" s="197">
        <f t="shared" si="4"/>
        <v>0.2471872931833223</v>
      </c>
    </row>
    <row r="7" spans="1:10" ht="15.75" thickTop="1" thickBot="1" x14ac:dyDescent="0.25">
      <c r="A7" s="127" t="s">
        <v>183</v>
      </c>
      <c r="B7" s="126">
        <v>375000</v>
      </c>
      <c r="C7" s="125">
        <v>430000</v>
      </c>
      <c r="D7" s="125">
        <v>390000</v>
      </c>
      <c r="E7" s="124">
        <v>450000</v>
      </c>
      <c r="F7" s="195">
        <f t="shared" si="1"/>
        <v>1645000</v>
      </c>
      <c r="G7" s="195">
        <f t="shared" si="2"/>
        <v>411250</v>
      </c>
      <c r="H7" s="196">
        <f>IF(G7&gt;375000,0.02,0)</f>
        <v>0.02</v>
      </c>
      <c r="I7" s="198">
        <f t="shared" si="3"/>
        <v>8225</v>
      </c>
      <c r="J7" s="197">
        <f t="shared" si="4"/>
        <v>0.27217074784910655</v>
      </c>
    </row>
    <row r="8" spans="1:10" ht="15.75" thickTop="1" thickBot="1" x14ac:dyDescent="0.25">
      <c r="A8" s="123" t="s">
        <v>182</v>
      </c>
      <c r="B8" s="194">
        <f>SUM(B4:B7)</f>
        <v>1559000</v>
      </c>
      <c r="C8" s="194">
        <f t="shared" ref="C8:E8" si="5">SUM(C4:C7)</f>
        <v>1643000</v>
      </c>
      <c r="D8" s="194">
        <f t="shared" si="5"/>
        <v>1316000</v>
      </c>
      <c r="E8" s="194">
        <f t="shared" si="5"/>
        <v>1526000</v>
      </c>
      <c r="F8" s="195">
        <f t="shared" si="1"/>
        <v>6044000</v>
      </c>
      <c r="G8" s="195">
        <f t="shared" si="2"/>
        <v>1511000</v>
      </c>
      <c r="H8" s="122"/>
      <c r="I8" s="198">
        <f>SUM(I4:I7)</f>
        <v>15750</v>
      </c>
      <c r="J8" s="121"/>
    </row>
    <row r="9" spans="1:10" ht="15.75" thickTop="1" thickBot="1" x14ac:dyDescent="0.25">
      <c r="A9" s="119"/>
      <c r="B9" s="119"/>
      <c r="C9" s="119"/>
      <c r="D9" s="119"/>
      <c r="E9" s="119"/>
      <c r="F9" s="120"/>
      <c r="G9" s="119"/>
      <c r="H9" s="119"/>
      <c r="I9" s="119"/>
      <c r="J9" s="119"/>
    </row>
    <row r="10" spans="1:10" ht="15.75" thickBot="1" x14ac:dyDescent="0.25">
      <c r="A10" s="32"/>
      <c r="B10" s="278" t="s">
        <v>285</v>
      </c>
      <c r="C10" s="279"/>
      <c r="D10" s="199" t="s">
        <v>282</v>
      </c>
      <c r="E10" s="200">
        <v>0.02</v>
      </c>
      <c r="F10" s="277" t="s">
        <v>283</v>
      </c>
      <c r="G10" s="277"/>
      <c r="H10" s="277"/>
      <c r="I10" s="201">
        <v>375000</v>
      </c>
    </row>
    <row r="11" spans="1:10" ht="15" x14ac:dyDescent="0.2">
      <c r="A11" s="40" t="s">
        <v>52</v>
      </c>
      <c r="B11" s="32"/>
      <c r="C11" s="32"/>
      <c r="D11" s="32"/>
      <c r="E11" s="32"/>
      <c r="F11" s="32"/>
      <c r="G11" s="32"/>
      <c r="H11" s="47"/>
    </row>
    <row r="12" spans="1:10" ht="15" x14ac:dyDescent="0.2">
      <c r="A12" s="32"/>
      <c r="B12" s="32"/>
      <c r="C12" s="32"/>
      <c r="D12" s="32"/>
      <c r="E12" s="32"/>
      <c r="F12" s="32"/>
      <c r="G12" s="32"/>
      <c r="H12" s="47"/>
    </row>
    <row r="13" spans="1:10" ht="15" x14ac:dyDescent="0.2">
      <c r="A13" s="32"/>
      <c r="B13" s="32"/>
      <c r="C13" s="32"/>
      <c r="D13" s="32"/>
      <c r="E13" s="32"/>
      <c r="F13" s="32"/>
      <c r="G13" s="32"/>
      <c r="H13" s="47"/>
    </row>
  </sheetData>
  <mergeCells count="3">
    <mergeCell ref="A2:B2"/>
    <mergeCell ref="F10:H10"/>
    <mergeCell ref="B10:C10"/>
  </mergeCells>
  <conditionalFormatting sqref="I4:I8">
    <cfRule type="cellIs" dxfId="9" priority="1" stopIfTrue="1" operator="greaterThan">
      <formula>0</formula>
    </cfRule>
  </conditionalFormatting>
  <pageMargins left="0.78740157499999996" right="0.78740157499999996" top="0.984251969" bottom="0.984251969" header="0.4921259845" footer="0.492125984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DD97-818C-4D1E-AB3A-4AB504CEE66E}">
  <dimension ref="A1:J28"/>
  <sheetViews>
    <sheetView tabSelected="1" workbookViewId="0">
      <selection activeCell="H9" sqref="H9"/>
    </sheetView>
  </sheetViews>
  <sheetFormatPr baseColWidth="10" defaultColWidth="11.5703125" defaultRowHeight="14.25" x14ac:dyDescent="0.2"/>
  <cols>
    <col min="1" max="1" width="22.7109375" style="56" customWidth="1"/>
    <col min="2" max="4" width="11.5703125" style="56"/>
    <col min="5" max="5" width="16.7109375" style="56" customWidth="1"/>
    <col min="6" max="6" width="11.5703125" style="56"/>
    <col min="7" max="7" width="23.28515625" style="56" customWidth="1"/>
    <col min="8" max="16384" width="11.5703125" style="56"/>
  </cols>
  <sheetData>
    <row r="1" spans="1:10" ht="15" x14ac:dyDescent="0.25">
      <c r="A1" s="281" t="s">
        <v>216</v>
      </c>
      <c r="B1" s="281"/>
    </row>
    <row r="2" spans="1:10" x14ac:dyDescent="0.2">
      <c r="B2" s="218"/>
    </row>
    <row r="3" spans="1:10" ht="15.75" thickBot="1" x14ac:dyDescent="0.3">
      <c r="A3" s="220" t="s">
        <v>215</v>
      </c>
      <c r="B3" s="218"/>
    </row>
    <row r="4" spans="1:10" ht="14.45" customHeight="1" thickTop="1" x14ac:dyDescent="0.2">
      <c r="A4" s="202" t="s">
        <v>214</v>
      </c>
      <c r="B4" s="221">
        <v>5000</v>
      </c>
      <c r="C4" s="222" t="s">
        <v>212</v>
      </c>
      <c r="E4" s="280" t="s">
        <v>290</v>
      </c>
      <c r="F4" s="280"/>
      <c r="G4" s="280"/>
      <c r="H4" s="280"/>
      <c r="I4" s="280"/>
      <c r="J4" s="193"/>
    </row>
    <row r="5" spans="1:10" ht="15" thickBot="1" x14ac:dyDescent="0.25">
      <c r="A5" s="203" t="s">
        <v>213</v>
      </c>
      <c r="B5" s="223">
        <v>15000</v>
      </c>
      <c r="C5" s="224" t="s">
        <v>212</v>
      </c>
      <c r="E5" s="280"/>
      <c r="F5" s="280"/>
      <c r="G5" s="280"/>
      <c r="H5" s="280"/>
      <c r="I5" s="280"/>
      <c r="J5" s="193"/>
    </row>
    <row r="6" spans="1:10" ht="15" thickTop="1" x14ac:dyDescent="0.2">
      <c r="A6" s="204"/>
      <c r="B6" s="225"/>
      <c r="C6" s="204"/>
      <c r="E6" s="280"/>
      <c r="F6" s="280"/>
      <c r="G6" s="280"/>
      <c r="H6" s="280"/>
      <c r="I6" s="280"/>
      <c r="J6" s="193"/>
    </row>
    <row r="7" spans="1:10" x14ac:dyDescent="0.2">
      <c r="A7" s="204"/>
      <c r="B7" s="225"/>
      <c r="C7" s="204"/>
      <c r="F7" s="193"/>
      <c r="G7" s="193"/>
      <c r="H7" s="193"/>
      <c r="I7" s="193"/>
      <c r="J7" s="193"/>
    </row>
    <row r="8" spans="1:10" ht="15.75" thickBot="1" x14ac:dyDescent="0.3">
      <c r="A8" s="226" t="s">
        <v>211</v>
      </c>
      <c r="B8" s="218"/>
      <c r="F8" s="193"/>
      <c r="G8" s="284" t="s">
        <v>288</v>
      </c>
      <c r="H8" s="284"/>
      <c r="I8" s="233"/>
      <c r="J8" s="219"/>
    </row>
    <row r="9" spans="1:10" ht="31.5" thickTop="1" thickBot="1" x14ac:dyDescent="0.3">
      <c r="A9" s="227"/>
      <c r="B9" s="228" t="s">
        <v>210</v>
      </c>
      <c r="C9" s="229" t="s">
        <v>209</v>
      </c>
      <c r="D9" s="229" t="s">
        <v>208</v>
      </c>
      <c r="E9" s="230" t="s">
        <v>207</v>
      </c>
      <c r="G9" s="235" t="s">
        <v>193</v>
      </c>
      <c r="H9" s="242"/>
      <c r="I9" s="244" t="s">
        <v>286</v>
      </c>
    </row>
    <row r="10" spans="1:10" ht="29.25" thickBot="1" x14ac:dyDescent="0.25">
      <c r="A10" s="205" t="s">
        <v>206</v>
      </c>
      <c r="B10" s="206"/>
      <c r="C10" s="207"/>
      <c r="D10" s="208">
        <v>32000</v>
      </c>
      <c r="E10" s="231" t="str">
        <f>IF(D10&lt;=$B$5,"Meldung"," ")</f>
        <v xml:space="preserve"> </v>
      </c>
      <c r="G10" s="236" t="s">
        <v>192</v>
      </c>
      <c r="H10" s="243"/>
      <c r="I10" s="244" t="s">
        <v>289</v>
      </c>
    </row>
    <row r="11" spans="1:10" ht="15.75" thickTop="1" thickBot="1" x14ac:dyDescent="0.25">
      <c r="A11" s="209" t="s">
        <v>205</v>
      </c>
      <c r="B11" s="210">
        <v>52600</v>
      </c>
      <c r="C11" s="211">
        <v>68500</v>
      </c>
      <c r="D11" s="239">
        <f>$D10+B11-C11</f>
        <v>16100</v>
      </c>
      <c r="E11" s="240" t="str">
        <f>IF(D11&lt;15000,"Meldung","")</f>
        <v/>
      </c>
    </row>
    <row r="12" spans="1:10" ht="15" thickBot="1" x14ac:dyDescent="0.25">
      <c r="A12" s="212" t="s">
        <v>204</v>
      </c>
      <c r="B12" s="213">
        <v>12500</v>
      </c>
      <c r="C12" s="214">
        <v>16700</v>
      </c>
      <c r="D12" s="239">
        <f t="shared" ref="D12:D22" si="0">$D11+B12-C12</f>
        <v>11900</v>
      </c>
      <c r="E12" s="240" t="str">
        <f>IF(D12&lt;15000,"Meldung","")</f>
        <v>Meldung</v>
      </c>
      <c r="G12" s="56" t="s">
        <v>52</v>
      </c>
    </row>
    <row r="13" spans="1:10" ht="15" thickBot="1" x14ac:dyDescent="0.25">
      <c r="A13" s="212" t="s">
        <v>203</v>
      </c>
      <c r="B13" s="213">
        <v>17000</v>
      </c>
      <c r="C13" s="214">
        <v>11000</v>
      </c>
      <c r="D13" s="239">
        <f t="shared" si="0"/>
        <v>17900</v>
      </c>
      <c r="E13" s="240" t="str">
        <f t="shared" ref="E13:E22" si="1">IF(D13&lt;15000,"Meldung","")</f>
        <v/>
      </c>
    </row>
    <row r="14" spans="1:10" ht="15" thickBot="1" x14ac:dyDescent="0.25">
      <c r="A14" s="212" t="s">
        <v>202</v>
      </c>
      <c r="B14" s="213">
        <v>48600</v>
      </c>
      <c r="C14" s="214">
        <v>39000</v>
      </c>
      <c r="D14" s="239">
        <f t="shared" si="0"/>
        <v>27500</v>
      </c>
      <c r="E14" s="240" t="str">
        <f t="shared" si="1"/>
        <v/>
      </c>
    </row>
    <row r="15" spans="1:10" ht="15" thickBot="1" x14ac:dyDescent="0.25">
      <c r="A15" s="212" t="s">
        <v>201</v>
      </c>
      <c r="B15" s="213">
        <v>19400</v>
      </c>
      <c r="C15" s="214">
        <v>17500</v>
      </c>
      <c r="D15" s="239">
        <f t="shared" si="0"/>
        <v>29400</v>
      </c>
      <c r="E15" s="240" t="str">
        <f t="shared" si="1"/>
        <v/>
      </c>
    </row>
    <row r="16" spans="1:10" ht="15" thickBot="1" x14ac:dyDescent="0.25">
      <c r="A16" s="212" t="s">
        <v>200</v>
      </c>
      <c r="B16" s="213">
        <v>13500</v>
      </c>
      <c r="C16" s="214">
        <v>29500</v>
      </c>
      <c r="D16" s="239">
        <f t="shared" si="0"/>
        <v>13400</v>
      </c>
      <c r="E16" s="240" t="str">
        <f t="shared" si="1"/>
        <v>Meldung</v>
      </c>
    </row>
    <row r="17" spans="1:6" ht="15" thickBot="1" x14ac:dyDescent="0.25">
      <c r="A17" s="212" t="s">
        <v>199</v>
      </c>
      <c r="B17" s="213">
        <v>28000</v>
      </c>
      <c r="C17" s="214">
        <v>21000</v>
      </c>
      <c r="D17" s="239">
        <f t="shared" si="0"/>
        <v>20400</v>
      </c>
      <c r="E17" s="240" t="str">
        <f t="shared" si="1"/>
        <v/>
      </c>
    </row>
    <row r="18" spans="1:6" ht="15" thickBot="1" x14ac:dyDescent="0.25">
      <c r="A18" s="212" t="s">
        <v>198</v>
      </c>
      <c r="B18" s="213">
        <v>26300</v>
      </c>
      <c r="C18" s="214">
        <v>18000</v>
      </c>
      <c r="D18" s="239">
        <f t="shared" si="0"/>
        <v>28700</v>
      </c>
      <c r="E18" s="240" t="str">
        <f t="shared" si="1"/>
        <v/>
      </c>
    </row>
    <row r="19" spans="1:6" ht="15" thickBot="1" x14ac:dyDescent="0.25">
      <c r="A19" s="212" t="s">
        <v>197</v>
      </c>
      <c r="B19" s="213">
        <v>45000</v>
      </c>
      <c r="C19" s="214">
        <v>48800</v>
      </c>
      <c r="D19" s="239">
        <f t="shared" si="0"/>
        <v>24900</v>
      </c>
      <c r="E19" s="240" t="str">
        <f t="shared" si="1"/>
        <v/>
      </c>
    </row>
    <row r="20" spans="1:6" ht="15" thickBot="1" x14ac:dyDescent="0.25">
      <c r="A20" s="212" t="s">
        <v>196</v>
      </c>
      <c r="B20" s="213">
        <v>39000</v>
      </c>
      <c r="C20" s="214">
        <v>37000</v>
      </c>
      <c r="D20" s="239">
        <f t="shared" si="0"/>
        <v>26900</v>
      </c>
      <c r="E20" s="240" t="str">
        <f t="shared" si="1"/>
        <v/>
      </c>
    </row>
    <row r="21" spans="1:6" ht="15" thickBot="1" x14ac:dyDescent="0.25">
      <c r="A21" s="212" t="s">
        <v>195</v>
      </c>
      <c r="B21" s="213">
        <v>28000</v>
      </c>
      <c r="C21" s="214">
        <v>42000</v>
      </c>
      <c r="D21" s="239">
        <f t="shared" si="0"/>
        <v>12900</v>
      </c>
      <c r="E21" s="240" t="str">
        <f t="shared" si="1"/>
        <v>Meldung</v>
      </c>
    </row>
    <row r="22" spans="1:6" ht="15" thickBot="1" x14ac:dyDescent="0.25">
      <c r="A22" s="215" t="s">
        <v>194</v>
      </c>
      <c r="B22" s="216">
        <v>28500</v>
      </c>
      <c r="C22" s="217">
        <v>21900</v>
      </c>
      <c r="D22" s="239">
        <f t="shared" si="0"/>
        <v>19500</v>
      </c>
      <c r="E22" s="240" t="str">
        <f t="shared" si="1"/>
        <v/>
      </c>
    </row>
    <row r="23" spans="1:6" ht="14.45" customHeight="1" thickTop="1" x14ac:dyDescent="0.2">
      <c r="A23" s="282" t="s">
        <v>287</v>
      </c>
      <c r="B23" s="282"/>
      <c r="C23" s="283"/>
      <c r="D23" s="241">
        <f>AVERAGE(D10:D22)</f>
        <v>21653.846153846152</v>
      </c>
      <c r="E23" s="204"/>
      <c r="F23" s="204"/>
    </row>
    <row r="24" spans="1:6" ht="15" x14ac:dyDescent="0.25">
      <c r="B24" s="232"/>
      <c r="C24" s="233"/>
      <c r="D24" s="234"/>
    </row>
    <row r="25" spans="1:6" x14ac:dyDescent="0.2">
      <c r="A25" s="56" t="s">
        <v>52</v>
      </c>
    </row>
    <row r="26" spans="1:6" ht="37.5" customHeight="1" x14ac:dyDescent="0.2"/>
    <row r="27" spans="1:6" ht="37.5" customHeight="1" x14ac:dyDescent="0.2"/>
    <row r="28" spans="1:6" ht="15" x14ac:dyDescent="0.25">
      <c r="A28" s="237"/>
      <c r="B28" s="238"/>
      <c r="C28" s="233"/>
    </row>
  </sheetData>
  <mergeCells count="4">
    <mergeCell ref="E4:I6"/>
    <mergeCell ref="A1:B1"/>
    <mergeCell ref="A23:C23"/>
    <mergeCell ref="G8:H8"/>
  </mergeCells>
  <pageMargins left="0.78740157499999996" right="0.78740157499999996" top="0.984251969" bottom="0.984251969" header="0.4921259845" footer="0.492125984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workbookViewId="0">
      <selection activeCell="C4" sqref="C4:C14"/>
    </sheetView>
  </sheetViews>
  <sheetFormatPr baseColWidth="10" defaultColWidth="11.42578125" defaultRowHeight="12.75" x14ac:dyDescent="0.2"/>
  <cols>
    <col min="1" max="1" width="15.28515625" style="1" customWidth="1"/>
    <col min="2" max="2" width="20.140625" style="1" customWidth="1"/>
    <col min="3" max="3" width="18.28515625" style="1" customWidth="1"/>
    <col min="4" max="16384" width="11.42578125" style="1"/>
  </cols>
  <sheetData>
    <row r="1" spans="1:9" ht="19.5" x14ac:dyDescent="0.25">
      <c r="A1" s="17" t="s">
        <v>48</v>
      </c>
      <c r="B1" s="16"/>
      <c r="C1" s="11"/>
      <c r="D1" s="11"/>
    </row>
    <row r="2" spans="1:9" ht="20.25" thickBot="1" x14ac:dyDescent="0.3">
      <c r="A2" s="16"/>
      <c r="B2" s="16"/>
      <c r="C2" s="11"/>
      <c r="D2" s="11"/>
    </row>
    <row r="3" spans="1:9" ht="35.25" customHeight="1" thickBot="1" x14ac:dyDescent="0.25">
      <c r="A3" s="21" t="s">
        <v>13</v>
      </c>
      <c r="B3" s="22" t="s">
        <v>28</v>
      </c>
      <c r="C3" s="22" t="s">
        <v>29</v>
      </c>
      <c r="D3" s="11"/>
      <c r="I3" s="18" t="s">
        <v>52</v>
      </c>
    </row>
    <row r="4" spans="1:9" ht="16.5" thickBot="1" x14ac:dyDescent="0.3">
      <c r="A4" s="19" t="s">
        <v>30</v>
      </c>
      <c r="B4" s="23">
        <v>3</v>
      </c>
      <c r="C4" s="167"/>
      <c r="D4" s="11"/>
    </row>
    <row r="5" spans="1:9" ht="16.5" thickBot="1" x14ac:dyDescent="0.3">
      <c r="A5" s="19" t="s">
        <v>31</v>
      </c>
      <c r="B5" s="23">
        <v>1</v>
      </c>
      <c r="C5" s="167"/>
      <c r="D5" s="11"/>
    </row>
    <row r="6" spans="1:9" ht="16.5" thickBot="1" x14ac:dyDescent="0.3">
      <c r="A6" s="19" t="s">
        <v>32</v>
      </c>
      <c r="B6" s="23">
        <v>2</v>
      </c>
      <c r="C6" s="167"/>
      <c r="D6" s="11"/>
    </row>
    <row r="7" spans="1:9" ht="16.5" thickBot="1" x14ac:dyDescent="0.3">
      <c r="A7" s="19" t="s">
        <v>33</v>
      </c>
      <c r="B7" s="23">
        <v>1</v>
      </c>
      <c r="C7" s="167"/>
      <c r="D7" s="11"/>
    </row>
    <row r="8" spans="1:9" ht="16.5" thickBot="1" x14ac:dyDescent="0.3">
      <c r="A8" s="19" t="s">
        <v>34</v>
      </c>
      <c r="B8" s="23">
        <v>3</v>
      </c>
      <c r="C8" s="167"/>
      <c r="D8" s="11"/>
    </row>
    <row r="9" spans="1:9" ht="16.5" thickBot="1" x14ac:dyDescent="0.3">
      <c r="A9" s="19" t="s">
        <v>35</v>
      </c>
      <c r="B9" s="23">
        <v>2</v>
      </c>
      <c r="C9" s="167"/>
      <c r="D9" s="11"/>
    </row>
    <row r="10" spans="1:9" ht="16.5" thickBot="1" x14ac:dyDescent="0.3">
      <c r="A10" s="19" t="s">
        <v>36</v>
      </c>
      <c r="B10" s="23">
        <v>1</v>
      </c>
      <c r="C10" s="167"/>
      <c r="D10" s="11"/>
    </row>
    <row r="11" spans="1:9" ht="16.5" thickBot="1" x14ac:dyDescent="0.3">
      <c r="A11" s="19" t="s">
        <v>37</v>
      </c>
      <c r="B11" s="23">
        <v>3</v>
      </c>
      <c r="C11" s="167"/>
      <c r="D11" s="11"/>
    </row>
    <row r="12" spans="1:9" ht="16.5" thickBot="1" x14ac:dyDescent="0.3">
      <c r="A12" s="19" t="s">
        <v>38</v>
      </c>
      <c r="B12" s="23">
        <v>2</v>
      </c>
      <c r="C12" s="167"/>
      <c r="D12" s="11"/>
    </row>
    <row r="13" spans="1:9" ht="15" x14ac:dyDescent="0.2">
      <c r="A13" s="11"/>
      <c r="B13" s="11"/>
      <c r="C13" s="11"/>
      <c r="D13" s="11"/>
    </row>
    <row r="14" spans="1:9" ht="15" x14ac:dyDescent="0.2">
      <c r="A14" s="11"/>
      <c r="B14" s="11"/>
      <c r="C14" s="11"/>
      <c r="D14" s="11"/>
    </row>
    <row r="18" spans="4:4" x14ac:dyDescent="0.2">
      <c r="D18" s="5"/>
    </row>
  </sheetData>
  <phoneticPr fontId="3" type="noConversion"/>
  <conditionalFormatting sqref="C4:C12">
    <cfRule type="cellIs" dxfId="8" priority="3" stopIfTrue="1" operator="equal">
      <formula>1600</formula>
    </cfRule>
    <cfRule type="cellIs" dxfId="7" priority="4" stopIfTrue="1" operator="notEqual">
      <formula>1600</formula>
    </cfRule>
  </conditionalFormatting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"/>
  <sheetViews>
    <sheetView zoomScaleNormal="100" workbookViewId="0">
      <selection activeCell="D5" sqref="D5:D14"/>
    </sheetView>
  </sheetViews>
  <sheetFormatPr baseColWidth="10" defaultColWidth="11.5703125" defaultRowHeight="12.75" x14ac:dyDescent="0.2"/>
  <cols>
    <col min="1" max="1" width="16" style="1" customWidth="1"/>
    <col min="2" max="2" width="11.5703125" style="1"/>
    <col min="3" max="3" width="19.85546875" style="1" customWidth="1"/>
    <col min="4" max="4" width="25" style="1" bestFit="1" customWidth="1"/>
    <col min="5" max="5" width="7.28515625" style="1" customWidth="1"/>
    <col min="6" max="6" width="10.7109375" style="1" customWidth="1"/>
    <col min="7" max="9" width="11.5703125" style="1"/>
    <col min="10" max="10" width="3.42578125" style="1" customWidth="1"/>
    <col min="11" max="16384" width="11.5703125" style="1"/>
  </cols>
  <sheetData>
    <row r="1" spans="1:11" ht="19.5" x14ac:dyDescent="0.25">
      <c r="A1" s="17" t="s">
        <v>11</v>
      </c>
      <c r="B1" s="16"/>
      <c r="C1" s="16"/>
      <c r="D1" s="11"/>
      <c r="E1" s="11"/>
    </row>
    <row r="2" spans="1:11" ht="15" x14ac:dyDescent="0.2">
      <c r="A2" s="11"/>
      <c r="B2" s="11"/>
      <c r="C2" s="11"/>
      <c r="D2" s="11"/>
      <c r="E2" s="11"/>
    </row>
    <row r="3" spans="1:11" ht="8.25" customHeight="1" x14ac:dyDescent="0.2">
      <c r="A3" s="11"/>
      <c r="B3" s="11"/>
      <c r="C3" s="11"/>
      <c r="D3" s="11"/>
      <c r="E3" s="11"/>
    </row>
    <row r="4" spans="1:11" ht="39.75" customHeight="1" x14ac:dyDescent="0.2">
      <c r="A4" s="12" t="s">
        <v>0</v>
      </c>
      <c r="B4" s="12" t="s">
        <v>1</v>
      </c>
      <c r="C4" s="12" t="s">
        <v>9</v>
      </c>
      <c r="D4" s="12" t="s">
        <v>10</v>
      </c>
      <c r="E4" s="11"/>
      <c r="K4" s="18" t="s">
        <v>52</v>
      </c>
    </row>
    <row r="5" spans="1:11" ht="15" x14ac:dyDescent="0.2">
      <c r="A5" s="10" t="s">
        <v>3</v>
      </c>
      <c r="B5" s="15">
        <v>25</v>
      </c>
      <c r="C5" s="24">
        <v>5</v>
      </c>
      <c r="D5" s="245"/>
      <c r="E5" s="11"/>
    </row>
    <row r="6" spans="1:11" ht="15" x14ac:dyDescent="0.2">
      <c r="A6" s="10" t="s">
        <v>4</v>
      </c>
      <c r="B6" s="15">
        <v>41</v>
      </c>
      <c r="C6" s="24">
        <v>21</v>
      </c>
      <c r="D6" s="245"/>
      <c r="E6" s="11"/>
    </row>
    <row r="7" spans="1:11" ht="15" x14ac:dyDescent="0.2">
      <c r="A7" s="10" t="s">
        <v>5</v>
      </c>
      <c r="B7" s="15">
        <v>29</v>
      </c>
      <c r="C7" s="24">
        <v>6</v>
      </c>
      <c r="D7" s="245"/>
      <c r="E7" s="11"/>
    </row>
    <row r="8" spans="1:11" ht="15" x14ac:dyDescent="0.2">
      <c r="A8" s="10" t="s">
        <v>2</v>
      </c>
      <c r="B8" s="15">
        <v>36</v>
      </c>
      <c r="C8" s="24">
        <v>17</v>
      </c>
      <c r="D8" s="245"/>
      <c r="E8" s="11"/>
    </row>
    <row r="9" spans="1:11" ht="15" x14ac:dyDescent="0.2">
      <c r="A9" s="10" t="s">
        <v>6</v>
      </c>
      <c r="B9" s="15">
        <v>60</v>
      </c>
      <c r="C9" s="24">
        <v>35</v>
      </c>
      <c r="D9" s="245"/>
      <c r="E9" s="11"/>
    </row>
    <row r="10" spans="1:11" ht="15" x14ac:dyDescent="0.2">
      <c r="A10" s="10" t="s">
        <v>7</v>
      </c>
      <c r="B10" s="15">
        <v>48</v>
      </c>
      <c r="C10" s="24">
        <v>22</v>
      </c>
      <c r="D10" s="245"/>
      <c r="E10" s="11"/>
    </row>
    <row r="11" spans="1:11" ht="15" x14ac:dyDescent="0.2">
      <c r="A11" s="10" t="s">
        <v>8</v>
      </c>
      <c r="B11" s="15">
        <v>51</v>
      </c>
      <c r="C11" s="24">
        <v>4</v>
      </c>
      <c r="D11" s="245"/>
      <c r="E11" s="11"/>
    </row>
    <row r="12" spans="1:11" ht="15" x14ac:dyDescent="0.2">
      <c r="A12" s="10" t="s">
        <v>2</v>
      </c>
      <c r="B12" s="15">
        <v>20</v>
      </c>
      <c r="C12" s="24">
        <v>2</v>
      </c>
      <c r="D12" s="245"/>
      <c r="E12" s="11"/>
    </row>
    <row r="13" spans="1:11" ht="15" x14ac:dyDescent="0.2">
      <c r="A13" s="11"/>
      <c r="B13" s="26"/>
      <c r="C13" s="26"/>
      <c r="D13" s="11"/>
      <c r="E13" s="11"/>
    </row>
    <row r="14" spans="1:11" ht="15" x14ac:dyDescent="0.2">
      <c r="A14" s="11"/>
      <c r="B14" s="11"/>
      <c r="C14" s="11"/>
      <c r="D14" s="11"/>
      <c r="E14" s="11"/>
    </row>
  </sheetData>
  <sheetProtection selectLockedCells="1" selectUnlockedCells="1"/>
  <phoneticPr fontId="3" type="noConversion"/>
  <conditionalFormatting sqref="D5:D12">
    <cfRule type="cellIs" dxfId="6" priority="1" stopIfTrue="1" operator="equal">
      <formula>500</formula>
    </cfRule>
    <cfRule type="cellIs" dxfId="5" priority="2" stopIfTrue="1" operator="notEqual">
      <formula>500</formula>
    </cfRule>
  </conditionalFormatting>
  <pageMargins left="0.78749999999999998" right="0.78749999999999998" top="1.0527777777777778" bottom="1.0527777777777778" header="0.78749999999999998" footer="0.78749999999999998"/>
  <pageSetup paperSize="9" orientation="portrait" horizontalDpi="300" verticalDpi="300" r:id="rId1"/>
  <headerFooter alignWithMargins="0">
    <oddHeader>&amp;C&amp;"Times New Roman,Standard"&amp;12&amp;A</oddHeader>
    <oddFooter>&amp;C&amp;"Times New Roman,Standard"&amp;12Seite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"/>
  <sheetViews>
    <sheetView workbookViewId="0">
      <selection activeCell="C9" sqref="C4:C9"/>
    </sheetView>
  </sheetViews>
  <sheetFormatPr baseColWidth="10" defaultColWidth="11.42578125" defaultRowHeight="12.75" x14ac:dyDescent="0.2"/>
  <cols>
    <col min="1" max="1" width="17.42578125" style="1" customWidth="1"/>
    <col min="2" max="2" width="11.42578125" style="1"/>
    <col min="3" max="3" width="30.5703125" style="1" customWidth="1"/>
    <col min="4" max="16384" width="11.42578125" style="1"/>
  </cols>
  <sheetData>
    <row r="1" spans="1:11" ht="15" x14ac:dyDescent="0.2">
      <c r="A1" s="25" t="s">
        <v>46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.75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3.25" customHeight="1" thickBot="1" x14ac:dyDescent="0.25">
      <c r="A3" s="27" t="s">
        <v>13</v>
      </c>
      <c r="B3" s="28" t="s">
        <v>39</v>
      </c>
      <c r="C3" s="28" t="s">
        <v>47</v>
      </c>
      <c r="D3" s="11"/>
      <c r="E3" s="11"/>
      <c r="F3" s="11"/>
      <c r="G3" s="11"/>
      <c r="H3" s="11"/>
      <c r="I3" s="11"/>
      <c r="J3" s="18" t="s">
        <v>52</v>
      </c>
      <c r="K3" s="11"/>
    </row>
    <row r="4" spans="1:11" ht="15.75" thickBot="1" x14ac:dyDescent="0.25">
      <c r="A4" s="19" t="s">
        <v>40</v>
      </c>
      <c r="B4" s="23">
        <v>60</v>
      </c>
      <c r="C4" s="20"/>
      <c r="D4" s="11"/>
      <c r="E4" s="11"/>
      <c r="F4" s="11"/>
      <c r="G4" s="11"/>
      <c r="H4" s="11"/>
      <c r="I4" s="11"/>
      <c r="J4" s="11"/>
      <c r="K4" s="11"/>
    </row>
    <row r="5" spans="1:11" ht="18" customHeight="1" thickBot="1" x14ac:dyDescent="0.25">
      <c r="A5" s="19" t="s">
        <v>41</v>
      </c>
      <c r="B5" s="23">
        <v>50</v>
      </c>
      <c r="C5" s="20"/>
      <c r="D5" s="11"/>
      <c r="E5" s="11"/>
      <c r="F5" s="11"/>
      <c r="G5" s="11"/>
      <c r="H5" s="11"/>
      <c r="I5" s="11"/>
      <c r="J5" s="11"/>
      <c r="K5" s="11"/>
    </row>
    <row r="6" spans="1:11" ht="15.75" thickBot="1" x14ac:dyDescent="0.25">
      <c r="A6" s="19" t="s">
        <v>42</v>
      </c>
      <c r="B6" s="23">
        <v>43</v>
      </c>
      <c r="C6" s="20"/>
      <c r="D6" s="11"/>
      <c r="E6" s="11"/>
      <c r="F6" s="11"/>
      <c r="G6" s="11"/>
      <c r="H6" s="11"/>
      <c r="I6" s="11"/>
      <c r="J6" s="11"/>
      <c r="K6" s="11"/>
    </row>
    <row r="7" spans="1:11" ht="15.75" thickBot="1" x14ac:dyDescent="0.25">
      <c r="A7" s="19" t="s">
        <v>43</v>
      </c>
      <c r="B7" s="23">
        <v>48</v>
      </c>
      <c r="C7" s="20"/>
      <c r="D7" s="11"/>
      <c r="E7" s="11"/>
      <c r="F7" s="11"/>
      <c r="G7" s="11"/>
      <c r="H7" s="11"/>
      <c r="I7" s="11"/>
      <c r="J7" s="11"/>
      <c r="K7" s="11"/>
    </row>
    <row r="8" spans="1:11" ht="15.75" thickBot="1" x14ac:dyDescent="0.25">
      <c r="A8" s="19" t="s">
        <v>44</v>
      </c>
      <c r="B8" s="23">
        <v>56</v>
      </c>
      <c r="C8" s="20"/>
      <c r="D8" s="11"/>
      <c r="E8" s="11"/>
      <c r="F8" s="11"/>
      <c r="G8" s="11"/>
      <c r="H8" s="11"/>
      <c r="I8" s="11"/>
      <c r="J8" s="11"/>
      <c r="K8" s="11"/>
    </row>
    <row r="9" spans="1:11" ht="15.75" thickBot="1" x14ac:dyDescent="0.25">
      <c r="A9" s="19" t="s">
        <v>45</v>
      </c>
      <c r="B9" s="23">
        <v>53</v>
      </c>
      <c r="C9" s="20"/>
      <c r="D9" s="11"/>
      <c r="E9" s="11"/>
      <c r="F9" s="11"/>
      <c r="G9" s="11"/>
      <c r="H9" s="11"/>
      <c r="I9" s="11"/>
      <c r="J9" s="11"/>
      <c r="K9" s="11"/>
    </row>
    <row r="10" spans="1:11" ht="1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5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15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15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7" spans="3:3" x14ac:dyDescent="0.2">
      <c r="C17" s="5"/>
    </row>
  </sheetData>
  <phoneticPr fontId="3" type="noConversion"/>
  <conditionalFormatting sqref="C4:C9">
    <cfRule type="cellIs" dxfId="4" priority="1" stopIfTrue="1" operator="equal">
      <formula>7</formula>
    </cfRule>
    <cfRule type="cellIs" dxfId="3" priority="2" stopIfTrue="1" operator="notEqual">
      <formula>7</formula>
    </cfRule>
  </conditionalFormatting>
  <pageMargins left="0.78740157499999996" right="0.78740157499999996" top="0.984251969" bottom="0.984251969" header="0.4921259845" footer="0.492125984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7"/>
  <sheetViews>
    <sheetView workbookViewId="0">
      <selection activeCell="B18" sqref="B18:E18"/>
    </sheetView>
  </sheetViews>
  <sheetFormatPr baseColWidth="10" defaultColWidth="11.42578125" defaultRowHeight="12.75" x14ac:dyDescent="0.2"/>
  <cols>
    <col min="1" max="1" width="15.28515625" style="1" customWidth="1"/>
    <col min="2" max="2" width="15.42578125" style="1" customWidth="1"/>
    <col min="3" max="3" width="16" style="1" customWidth="1"/>
    <col min="4" max="5" width="15" style="1" bestFit="1" customWidth="1"/>
    <col min="6" max="16384" width="11.42578125" style="1"/>
  </cols>
  <sheetData>
    <row r="1" spans="1:14" ht="15" x14ac:dyDescent="0.2">
      <c r="A1" s="25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x14ac:dyDescent="0.2">
      <c r="A4" s="11"/>
      <c r="B4" s="285" t="s">
        <v>51</v>
      </c>
      <c r="C4" s="286"/>
      <c r="D4" s="286"/>
      <c r="E4" s="286"/>
      <c r="F4" s="11"/>
      <c r="G4" s="11"/>
      <c r="H4" s="11"/>
      <c r="I4" s="11"/>
      <c r="J4" s="11"/>
      <c r="K4" s="7" t="s">
        <v>52</v>
      </c>
      <c r="L4" s="11"/>
      <c r="M4" s="11"/>
      <c r="N4" s="11"/>
    </row>
    <row r="5" spans="1:14" ht="15" x14ac:dyDescent="0.2">
      <c r="A5" s="9" t="s">
        <v>13</v>
      </c>
      <c r="B5" s="9" t="s">
        <v>26</v>
      </c>
      <c r="C5" s="9" t="s">
        <v>27</v>
      </c>
      <c r="D5" s="9" t="s">
        <v>49</v>
      </c>
      <c r="E5" s="9" t="s">
        <v>50</v>
      </c>
      <c r="F5" s="14"/>
      <c r="G5" s="11"/>
      <c r="H5" s="11"/>
      <c r="I5" s="11"/>
      <c r="J5" s="11"/>
      <c r="K5" s="11"/>
      <c r="L5" s="11"/>
      <c r="M5" s="11"/>
      <c r="N5" s="11"/>
    </row>
    <row r="6" spans="1:14" ht="15" x14ac:dyDescent="0.2">
      <c r="A6" s="29" t="s">
        <v>14</v>
      </c>
      <c r="B6" s="30">
        <v>10</v>
      </c>
      <c r="C6" s="30">
        <v>30</v>
      </c>
      <c r="D6" s="30">
        <v>100</v>
      </c>
      <c r="E6" s="30">
        <v>50</v>
      </c>
      <c r="F6" s="8"/>
      <c r="G6" s="11"/>
      <c r="H6" s="11"/>
      <c r="I6" s="11"/>
      <c r="J6" s="11"/>
      <c r="K6" s="11"/>
      <c r="L6" s="11"/>
      <c r="M6" s="11"/>
      <c r="N6" s="11"/>
    </row>
    <row r="7" spans="1:14" ht="15" x14ac:dyDescent="0.2">
      <c r="A7" s="29" t="s">
        <v>15</v>
      </c>
      <c r="B7" s="30">
        <v>34</v>
      </c>
      <c r="C7" s="30">
        <v>42</v>
      </c>
      <c r="D7" s="30">
        <v>99</v>
      </c>
      <c r="E7" s="30">
        <v>42</v>
      </c>
      <c r="F7" s="8"/>
      <c r="G7" s="11"/>
      <c r="H7" s="11"/>
      <c r="I7" s="11"/>
      <c r="J7" s="11"/>
      <c r="K7" s="11"/>
      <c r="L7" s="11"/>
      <c r="M7" s="11"/>
      <c r="N7" s="11"/>
    </row>
    <row r="8" spans="1:14" ht="15" x14ac:dyDescent="0.2">
      <c r="A8" s="29" t="s">
        <v>16</v>
      </c>
      <c r="B8" s="30">
        <v>1</v>
      </c>
      <c r="C8" s="30">
        <v>90</v>
      </c>
      <c r="D8" s="30">
        <v>87</v>
      </c>
      <c r="E8" s="30">
        <v>40</v>
      </c>
      <c r="F8" s="8"/>
      <c r="G8" s="11"/>
      <c r="H8" s="11"/>
      <c r="I8" s="11"/>
      <c r="J8" s="11"/>
      <c r="K8" s="11"/>
      <c r="L8" s="11"/>
      <c r="M8" s="11"/>
      <c r="N8" s="11"/>
    </row>
    <row r="9" spans="1:14" ht="15" x14ac:dyDescent="0.2">
      <c r="A9" s="29" t="s">
        <v>17</v>
      </c>
      <c r="B9" s="30">
        <v>49</v>
      </c>
      <c r="C9" s="30">
        <v>25</v>
      </c>
      <c r="D9" s="30">
        <v>51</v>
      </c>
      <c r="E9" s="30">
        <v>54</v>
      </c>
      <c r="F9" s="8"/>
      <c r="G9" s="11"/>
      <c r="H9" s="11"/>
      <c r="I9" s="11"/>
      <c r="J9" s="11"/>
      <c r="K9" s="11"/>
      <c r="L9" s="11"/>
      <c r="M9" s="11"/>
      <c r="N9" s="11"/>
    </row>
    <row r="10" spans="1:14" ht="15" x14ac:dyDescent="0.2">
      <c r="A10" s="29" t="s">
        <v>18</v>
      </c>
      <c r="B10" s="30">
        <v>23</v>
      </c>
      <c r="C10" s="30">
        <v>88</v>
      </c>
      <c r="D10" s="30">
        <v>55</v>
      </c>
      <c r="E10" s="30">
        <v>33</v>
      </c>
      <c r="F10" s="8"/>
      <c r="G10" s="11"/>
      <c r="H10" s="11"/>
      <c r="I10" s="11"/>
      <c r="J10" s="11"/>
      <c r="K10" s="11"/>
      <c r="L10" s="11"/>
      <c r="M10" s="11"/>
      <c r="N10" s="11"/>
    </row>
    <row r="11" spans="1:14" ht="15" x14ac:dyDescent="0.2">
      <c r="A11" s="29" t="s">
        <v>19</v>
      </c>
      <c r="B11" s="30">
        <v>22</v>
      </c>
      <c r="C11" s="30">
        <v>11</v>
      </c>
      <c r="D11" s="30">
        <v>72</v>
      </c>
      <c r="E11" s="30">
        <v>90</v>
      </c>
      <c r="F11" s="8"/>
      <c r="G11" s="11"/>
      <c r="H11" s="11"/>
      <c r="I11" s="11"/>
      <c r="J11" s="11"/>
      <c r="K11" s="11"/>
      <c r="L11" s="11"/>
      <c r="M11" s="11"/>
      <c r="N11" s="11"/>
    </row>
    <row r="12" spans="1:14" ht="15" x14ac:dyDescent="0.2">
      <c r="A12" s="29" t="s">
        <v>20</v>
      </c>
      <c r="B12" s="30">
        <v>100</v>
      </c>
      <c r="C12" s="30">
        <v>54</v>
      </c>
      <c r="D12" s="30">
        <v>64</v>
      </c>
      <c r="E12" s="30">
        <v>77</v>
      </c>
      <c r="F12" s="8"/>
      <c r="G12" s="11"/>
      <c r="H12" s="11"/>
      <c r="I12" s="11"/>
      <c r="J12" s="11"/>
      <c r="K12" s="11"/>
      <c r="L12" s="11"/>
      <c r="M12" s="11"/>
      <c r="N12" s="11"/>
    </row>
    <row r="13" spans="1:14" ht="15" x14ac:dyDescent="0.2">
      <c r="A13" s="29" t="s">
        <v>21</v>
      </c>
      <c r="B13" s="30">
        <v>10</v>
      </c>
      <c r="C13" s="30">
        <v>30</v>
      </c>
      <c r="D13" s="30">
        <v>44</v>
      </c>
      <c r="E13" s="30">
        <v>50</v>
      </c>
      <c r="F13" s="8"/>
      <c r="G13" s="11"/>
      <c r="H13" s="11"/>
      <c r="I13" s="11"/>
      <c r="J13" s="11"/>
      <c r="K13" s="11"/>
      <c r="L13" s="11"/>
      <c r="M13" s="11"/>
      <c r="N13" s="11"/>
    </row>
    <row r="14" spans="1:14" ht="15" x14ac:dyDescent="0.2">
      <c r="A14" s="29" t="s">
        <v>22</v>
      </c>
      <c r="B14" s="30">
        <v>34</v>
      </c>
      <c r="C14" s="30">
        <v>42</v>
      </c>
      <c r="D14" s="30">
        <v>1</v>
      </c>
      <c r="E14" s="30">
        <v>42</v>
      </c>
      <c r="F14" s="8"/>
      <c r="G14" s="11"/>
      <c r="H14" s="11"/>
      <c r="I14" s="11"/>
      <c r="J14" s="11"/>
      <c r="K14" s="11"/>
      <c r="L14" s="11"/>
      <c r="M14" s="11"/>
      <c r="N14" s="11"/>
    </row>
    <row r="15" spans="1:14" ht="15" x14ac:dyDescent="0.2">
      <c r="A15" s="29" t="s">
        <v>23</v>
      </c>
      <c r="B15" s="30">
        <v>1</v>
      </c>
      <c r="C15" s="30">
        <v>90</v>
      </c>
      <c r="D15" s="30">
        <v>79</v>
      </c>
      <c r="E15" s="30">
        <v>40</v>
      </c>
      <c r="F15" s="8"/>
      <c r="G15" s="11"/>
      <c r="H15" s="11"/>
      <c r="I15" s="11"/>
      <c r="J15" s="11"/>
      <c r="K15" s="11"/>
      <c r="L15" s="11"/>
      <c r="M15" s="11"/>
      <c r="N15" s="11"/>
    </row>
    <row r="16" spans="1:14" ht="15" x14ac:dyDescent="0.2">
      <c r="A16" s="29" t="s">
        <v>24</v>
      </c>
      <c r="B16" s="30">
        <v>40</v>
      </c>
      <c r="C16" s="30">
        <v>20</v>
      </c>
      <c r="D16" s="30">
        <v>67</v>
      </c>
      <c r="E16" s="30">
        <v>60</v>
      </c>
      <c r="F16" s="8"/>
      <c r="G16" s="11"/>
      <c r="H16" s="11"/>
      <c r="I16" s="11"/>
      <c r="J16" s="11"/>
      <c r="K16" s="11"/>
      <c r="L16" s="11"/>
      <c r="M16" s="11"/>
      <c r="N16" s="11"/>
    </row>
    <row r="17" spans="1:14" ht="15" x14ac:dyDescent="0.2">
      <c r="A17" s="29" t="s">
        <v>25</v>
      </c>
      <c r="B17" s="30">
        <v>60</v>
      </c>
      <c r="C17" s="30">
        <v>23</v>
      </c>
      <c r="D17" s="30">
        <v>89</v>
      </c>
      <c r="E17" s="30">
        <v>67</v>
      </c>
      <c r="F17" s="8"/>
      <c r="G17" s="11"/>
      <c r="H17" s="11"/>
      <c r="I17" s="11"/>
      <c r="J17" s="11"/>
      <c r="K17" s="11"/>
      <c r="L17" s="11"/>
      <c r="M17" s="11"/>
      <c r="N17" s="11"/>
    </row>
    <row r="18" spans="1:14" ht="15" x14ac:dyDescent="0.2">
      <c r="A18" s="11"/>
      <c r="B18" s="13"/>
      <c r="C18" s="13"/>
      <c r="D18" s="13"/>
      <c r="E18" s="13"/>
      <c r="F18" s="8"/>
      <c r="G18" s="11"/>
      <c r="H18" s="11"/>
      <c r="I18" s="11"/>
      <c r="J18" s="11"/>
      <c r="K18" s="11"/>
      <c r="L18" s="11"/>
      <c r="M18" s="11"/>
      <c r="N18" s="11"/>
    </row>
    <row r="19" spans="1:14" ht="15" x14ac:dyDescent="0.2">
      <c r="A19" s="8"/>
      <c r="B19" s="8"/>
      <c r="C19" s="8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5" x14ac:dyDescent="0.2">
      <c r="A20" s="8"/>
      <c r="B20" s="8"/>
      <c r="C20" s="8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2">
      <c r="A21" s="2"/>
      <c r="B21" s="2"/>
      <c r="C21" s="6"/>
    </row>
    <row r="22" spans="1:14" x14ac:dyDescent="0.2">
      <c r="A22" s="2"/>
      <c r="B22" s="2"/>
      <c r="C22" s="2"/>
    </row>
    <row r="25" spans="1:14" x14ac:dyDescent="0.2">
      <c r="C25" s="4"/>
    </row>
    <row r="26" spans="1:14" x14ac:dyDescent="0.2">
      <c r="C26" s="3"/>
    </row>
    <row r="27" spans="1:14" x14ac:dyDescent="0.2">
      <c r="C27" s="3"/>
    </row>
    <row r="37" spans="3:3" x14ac:dyDescent="0.2">
      <c r="C37" s="3"/>
    </row>
  </sheetData>
  <mergeCells count="1">
    <mergeCell ref="B4:E4"/>
  </mergeCells>
  <phoneticPr fontId="3" type="noConversion"/>
  <conditionalFormatting sqref="B18:E18">
    <cfRule type="cellIs" dxfId="2" priority="1" stopIfTrue="1" operator="equal">
      <formula>IF(SUM(B6:B17)&gt;600,"Ja","Nein")</formula>
    </cfRule>
    <cfRule type="cellIs" dxfId="1" priority="2" stopIfTrue="1" operator="notEqual">
      <formula>IF(SUM(B6:B17)&gt;600,"Ja","Nein")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1"/>
  <sheetViews>
    <sheetView workbookViewId="0">
      <selection activeCell="B5" sqref="B5:C11"/>
    </sheetView>
  </sheetViews>
  <sheetFormatPr baseColWidth="10" defaultRowHeight="12.75" x14ac:dyDescent="0.2"/>
  <cols>
    <col min="1" max="1" width="18.28515625" customWidth="1"/>
    <col min="2" max="2" width="25.140625" customWidth="1"/>
    <col min="3" max="3" width="25" customWidth="1"/>
  </cols>
  <sheetData>
    <row r="1" spans="1:9" s="41" customFormat="1" ht="32.25" customHeight="1" x14ac:dyDescent="0.25">
      <c r="A1" s="287" t="s">
        <v>81</v>
      </c>
      <c r="B1" s="288"/>
      <c r="C1" s="289"/>
      <c r="D1" s="40"/>
      <c r="E1" s="40"/>
    </row>
    <row r="2" spans="1:9" ht="15" x14ac:dyDescent="0.2">
      <c r="A2" s="290"/>
      <c r="B2" s="290"/>
      <c r="C2" s="290"/>
      <c r="D2" s="32"/>
      <c r="E2" s="32"/>
    </row>
    <row r="3" spans="1:9" ht="15" x14ac:dyDescent="0.2">
      <c r="A3" s="291"/>
      <c r="B3" s="291"/>
      <c r="C3" s="291"/>
      <c r="D3" s="32"/>
      <c r="E3" s="32"/>
    </row>
    <row r="4" spans="1:9" s="44" customFormat="1" ht="33.75" customHeight="1" x14ac:dyDescent="0.2">
      <c r="A4" s="42" t="s">
        <v>82</v>
      </c>
      <c r="B4" s="42" t="s">
        <v>83</v>
      </c>
      <c r="C4" s="42" t="s">
        <v>83</v>
      </c>
      <c r="D4" s="43"/>
      <c r="E4" s="292" t="s">
        <v>84</v>
      </c>
      <c r="F4" s="293"/>
      <c r="G4" s="293"/>
      <c r="H4" s="293"/>
      <c r="I4" s="293"/>
    </row>
    <row r="5" spans="1:9" ht="15" x14ac:dyDescent="0.2">
      <c r="A5" s="31">
        <v>33</v>
      </c>
      <c r="B5" s="45"/>
      <c r="C5" s="45"/>
      <c r="D5" s="32"/>
      <c r="E5" s="293"/>
      <c r="F5" s="293"/>
      <c r="G5" s="293"/>
      <c r="H5" s="293"/>
      <c r="I5" s="293"/>
    </row>
    <row r="6" spans="1:9" ht="15" x14ac:dyDescent="0.2">
      <c r="A6" s="31">
        <v>5</v>
      </c>
      <c r="B6" s="45"/>
      <c r="C6" s="45"/>
      <c r="D6" s="32"/>
      <c r="E6" s="293"/>
      <c r="F6" s="293"/>
      <c r="G6" s="293"/>
      <c r="H6" s="293"/>
      <c r="I6" s="293"/>
    </row>
    <row r="7" spans="1:9" ht="15" x14ac:dyDescent="0.2">
      <c r="A7" s="31">
        <v>65</v>
      </c>
      <c r="B7" s="45"/>
      <c r="C7" s="45"/>
      <c r="D7" s="32"/>
      <c r="E7" s="293"/>
      <c r="F7" s="293"/>
      <c r="G7" s="293"/>
      <c r="H7" s="293"/>
      <c r="I7" s="293"/>
    </row>
    <row r="8" spans="1:9" ht="15" x14ac:dyDescent="0.2">
      <c r="A8" s="31">
        <v>11</v>
      </c>
      <c r="B8" s="45"/>
      <c r="C8" s="45"/>
      <c r="D8" s="32"/>
      <c r="E8" s="293"/>
      <c r="F8" s="293"/>
      <c r="G8" s="293"/>
      <c r="H8" s="293"/>
      <c r="I8" s="293"/>
    </row>
    <row r="9" spans="1:9" ht="15" x14ac:dyDescent="0.2">
      <c r="A9" s="31">
        <v>16</v>
      </c>
      <c r="B9" s="45"/>
      <c r="C9" s="45"/>
      <c r="D9" s="32"/>
      <c r="E9" s="293"/>
      <c r="F9" s="293"/>
      <c r="G9" s="293"/>
      <c r="H9" s="293"/>
      <c r="I9" s="293"/>
    </row>
    <row r="10" spans="1:9" ht="15" x14ac:dyDescent="0.2">
      <c r="A10" s="31">
        <v>17</v>
      </c>
      <c r="B10" s="45"/>
      <c r="C10" s="45"/>
      <c r="D10" s="32"/>
      <c r="E10" s="32"/>
    </row>
    <row r="11" spans="1:9" ht="15" x14ac:dyDescent="0.2">
      <c r="A11" s="31">
        <v>18</v>
      </c>
      <c r="B11" s="45"/>
      <c r="C11" s="45"/>
      <c r="D11" s="32"/>
      <c r="E11" s="32"/>
    </row>
    <row r="12" spans="1:9" ht="15" x14ac:dyDescent="0.2">
      <c r="A12" s="32"/>
      <c r="B12" s="32"/>
      <c r="C12" s="32"/>
      <c r="D12" s="32"/>
      <c r="E12" s="32"/>
    </row>
    <row r="13" spans="1:9" ht="15" x14ac:dyDescent="0.2">
      <c r="A13" s="40" t="s">
        <v>52</v>
      </c>
      <c r="B13" s="32"/>
      <c r="C13" s="32"/>
      <c r="D13" s="32"/>
      <c r="E13" s="32"/>
    </row>
    <row r="21" spans="12:12" x14ac:dyDescent="0.2">
      <c r="L21" s="46"/>
    </row>
  </sheetData>
  <mergeCells count="3">
    <mergeCell ref="A1:C1"/>
    <mergeCell ref="A2:C3"/>
    <mergeCell ref="E4:I9"/>
  </mergeCells>
  <pageMargins left="0.78740157499999996" right="0.78740157499999996" top="0.984251969" bottom="0.984251969" header="0.4921259845" footer="0.4921259845"/>
  <pageSetup paperSize="9" orientation="portrait" horizontalDpi="4294967293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0"/>
  <sheetViews>
    <sheetView workbookViewId="0">
      <selection activeCell="C5" sqref="C5:C15"/>
    </sheetView>
  </sheetViews>
  <sheetFormatPr baseColWidth="10" defaultRowHeight="12.75" x14ac:dyDescent="0.2"/>
  <cols>
    <col min="1" max="1" width="11.28515625" customWidth="1"/>
    <col min="2" max="2" width="10.28515625" customWidth="1"/>
    <col min="3" max="3" width="35.7109375" customWidth="1"/>
  </cols>
  <sheetData>
    <row r="1" spans="1:12" s="41" customFormat="1" ht="33.75" customHeight="1" x14ac:dyDescent="0.25">
      <c r="A1" s="294" t="s">
        <v>85</v>
      </c>
      <c r="B1" s="295"/>
      <c r="C1" s="296"/>
      <c r="D1" s="40"/>
      <c r="E1" s="40"/>
      <c r="F1" s="40"/>
      <c r="G1" s="40"/>
      <c r="H1" s="40"/>
      <c r="I1" s="40"/>
    </row>
    <row r="2" spans="1:12" ht="15" x14ac:dyDescent="0.2">
      <c r="A2" s="32"/>
      <c r="B2" s="32"/>
      <c r="C2" s="32"/>
      <c r="D2" s="32"/>
      <c r="E2" s="47"/>
      <c r="F2" s="47"/>
      <c r="G2" s="47"/>
      <c r="H2" s="47"/>
      <c r="I2" s="47"/>
    </row>
    <row r="3" spans="1:12" ht="15" x14ac:dyDescent="0.2">
      <c r="A3" s="32"/>
      <c r="B3" s="32"/>
      <c r="C3" s="32"/>
      <c r="D3" s="32"/>
      <c r="E3" s="47"/>
      <c r="F3" s="47"/>
      <c r="G3" s="47"/>
      <c r="H3" s="47"/>
      <c r="I3" s="47"/>
    </row>
    <row r="4" spans="1:12" s="51" customFormat="1" ht="15" x14ac:dyDescent="0.2">
      <c r="A4" s="48" t="s">
        <v>86</v>
      </c>
      <c r="B4" s="48" t="s">
        <v>87</v>
      </c>
      <c r="C4" s="49" t="s">
        <v>88</v>
      </c>
      <c r="D4" s="40"/>
      <c r="E4" s="50"/>
      <c r="F4" s="50"/>
      <c r="G4" s="50"/>
      <c r="H4" s="50"/>
      <c r="I4" s="50"/>
    </row>
    <row r="5" spans="1:12" ht="15" x14ac:dyDescent="0.2">
      <c r="A5" s="31">
        <v>58</v>
      </c>
      <c r="B5" s="31">
        <v>20</v>
      </c>
      <c r="C5" s="52"/>
      <c r="D5" s="32"/>
      <c r="E5" s="297" t="s">
        <v>89</v>
      </c>
      <c r="F5" s="298"/>
      <c r="G5" s="298"/>
      <c r="H5" s="298"/>
      <c r="I5" s="298"/>
      <c r="J5" s="298"/>
      <c r="K5" s="298"/>
      <c r="L5" s="298"/>
    </row>
    <row r="6" spans="1:12" ht="15" x14ac:dyDescent="0.2">
      <c r="A6" s="31">
        <v>49</v>
      </c>
      <c r="B6" s="31">
        <v>0</v>
      </c>
      <c r="C6" s="52"/>
      <c r="D6" s="32"/>
      <c r="E6" s="298"/>
      <c r="F6" s="298"/>
      <c r="G6" s="298"/>
      <c r="H6" s="298"/>
      <c r="I6" s="298"/>
      <c r="J6" s="298"/>
      <c r="K6" s="298"/>
      <c r="L6" s="298"/>
    </row>
    <row r="7" spans="1:12" ht="15" x14ac:dyDescent="0.2">
      <c r="A7" s="31">
        <v>10</v>
      </c>
      <c r="B7" s="31">
        <v>83</v>
      </c>
      <c r="C7" s="52"/>
      <c r="D7" s="32"/>
      <c r="E7" s="298"/>
      <c r="F7" s="298"/>
      <c r="G7" s="298"/>
      <c r="H7" s="298"/>
      <c r="I7" s="298"/>
      <c r="J7" s="298"/>
      <c r="K7" s="298"/>
      <c r="L7" s="298"/>
    </row>
    <row r="8" spans="1:12" ht="15" x14ac:dyDescent="0.2">
      <c r="A8" s="31">
        <v>61</v>
      </c>
      <c r="B8" s="31">
        <v>83</v>
      </c>
      <c r="C8" s="52"/>
      <c r="D8" s="32"/>
      <c r="E8" s="298"/>
      <c r="F8" s="298"/>
      <c r="G8" s="298"/>
      <c r="H8" s="298"/>
      <c r="I8" s="298"/>
      <c r="J8" s="298"/>
      <c r="K8" s="298"/>
      <c r="L8" s="298"/>
    </row>
    <row r="9" spans="1:12" ht="15" x14ac:dyDescent="0.2">
      <c r="A9" s="31">
        <v>75</v>
      </c>
      <c r="B9" s="31">
        <v>40</v>
      </c>
      <c r="C9" s="52"/>
      <c r="D9" s="32"/>
      <c r="E9" s="47"/>
      <c r="F9" s="47"/>
      <c r="G9" s="47"/>
      <c r="H9" s="47"/>
      <c r="I9" s="47"/>
    </row>
    <row r="10" spans="1:12" ht="15" x14ac:dyDescent="0.2">
      <c r="A10" s="31">
        <v>26</v>
      </c>
      <c r="B10" s="31">
        <v>95</v>
      </c>
      <c r="C10" s="52"/>
      <c r="D10" s="32"/>
      <c r="E10" s="47"/>
      <c r="F10" s="47"/>
      <c r="G10" s="47"/>
      <c r="H10" s="47"/>
      <c r="I10" s="47"/>
    </row>
    <row r="11" spans="1:12" ht="15" x14ac:dyDescent="0.2">
      <c r="A11" s="31">
        <v>39</v>
      </c>
      <c r="B11" s="31">
        <v>39</v>
      </c>
      <c r="C11" s="52"/>
      <c r="D11" s="32"/>
      <c r="E11" s="47"/>
      <c r="F11" s="47"/>
      <c r="G11" s="47"/>
      <c r="H11" s="47"/>
      <c r="I11" s="47"/>
    </row>
    <row r="12" spans="1:12" ht="15" x14ac:dyDescent="0.2">
      <c r="A12" s="31">
        <v>48</v>
      </c>
      <c r="B12" s="31">
        <v>45</v>
      </c>
      <c r="C12" s="52"/>
      <c r="D12" s="32"/>
      <c r="E12" s="47"/>
      <c r="F12" s="47"/>
      <c r="G12" s="47"/>
      <c r="H12" s="47"/>
      <c r="I12" s="47"/>
    </row>
    <row r="13" spans="1:12" ht="15" x14ac:dyDescent="0.2">
      <c r="A13" s="31">
        <v>97</v>
      </c>
      <c r="B13" s="31">
        <v>62</v>
      </c>
      <c r="C13" s="52"/>
      <c r="D13" s="32"/>
      <c r="E13" s="47"/>
      <c r="F13" s="47"/>
      <c r="G13" s="47"/>
      <c r="H13" s="47"/>
      <c r="I13" s="47"/>
    </row>
    <row r="14" spans="1:12" ht="15" x14ac:dyDescent="0.2">
      <c r="A14" s="31">
        <v>7</v>
      </c>
      <c r="B14" s="31">
        <v>10</v>
      </c>
      <c r="C14" s="52"/>
      <c r="D14" s="32"/>
      <c r="E14" s="47"/>
      <c r="F14" s="47"/>
      <c r="G14" s="47"/>
      <c r="H14" s="47"/>
      <c r="I14" s="47"/>
    </row>
    <row r="15" spans="1:12" ht="15" x14ac:dyDescent="0.2">
      <c r="A15" s="31">
        <v>40</v>
      </c>
      <c r="B15" s="31">
        <v>28</v>
      </c>
      <c r="C15" s="52"/>
      <c r="D15" s="32"/>
      <c r="E15" s="47"/>
      <c r="F15" s="47"/>
      <c r="G15" s="47"/>
      <c r="H15" s="47"/>
      <c r="I15" s="47"/>
    </row>
    <row r="16" spans="1:12" ht="15" x14ac:dyDescent="0.2">
      <c r="A16" s="32"/>
      <c r="B16" s="32"/>
      <c r="C16" s="32"/>
      <c r="D16" s="32"/>
      <c r="E16" s="47"/>
      <c r="F16" s="47"/>
      <c r="G16" s="47"/>
      <c r="H16" s="47"/>
      <c r="I16" s="47"/>
    </row>
    <row r="17" spans="1:12" ht="15" x14ac:dyDescent="0.2">
      <c r="A17" s="40" t="s">
        <v>52</v>
      </c>
      <c r="B17" s="32"/>
      <c r="C17" s="32"/>
      <c r="D17" s="32"/>
      <c r="E17" s="47"/>
      <c r="F17" s="47"/>
      <c r="G17" s="47"/>
      <c r="H17" s="47"/>
      <c r="I17" s="47"/>
    </row>
    <row r="18" spans="1:12" x14ac:dyDescent="0.2">
      <c r="A18" s="47"/>
      <c r="B18" s="47"/>
      <c r="C18" s="47"/>
      <c r="D18" s="47"/>
      <c r="E18" s="47"/>
      <c r="F18" s="47"/>
      <c r="G18" s="47"/>
      <c r="H18" s="47"/>
      <c r="I18" s="47"/>
    </row>
    <row r="19" spans="1:12" x14ac:dyDescent="0.2">
      <c r="A19" s="47"/>
      <c r="B19" s="47"/>
      <c r="C19" s="47"/>
      <c r="D19" s="47"/>
      <c r="E19" s="47"/>
      <c r="F19" s="47"/>
      <c r="G19" s="47"/>
      <c r="H19" s="47"/>
      <c r="I19" s="47"/>
    </row>
    <row r="20" spans="1:12" x14ac:dyDescent="0.2">
      <c r="A20" s="47"/>
      <c r="B20" s="47"/>
      <c r="C20" s="47"/>
      <c r="D20" s="47"/>
      <c r="E20" s="47"/>
      <c r="F20" s="47"/>
      <c r="G20" s="47"/>
      <c r="H20" s="47"/>
      <c r="I20" s="47"/>
      <c r="L20" s="53"/>
    </row>
  </sheetData>
  <mergeCells count="2">
    <mergeCell ref="A1:C1"/>
    <mergeCell ref="E5:L8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6"/>
  <sheetViews>
    <sheetView topLeftCell="A8" zoomScale="90" zoomScaleNormal="90" workbookViewId="0">
      <selection activeCell="B30" sqref="B30:C36"/>
    </sheetView>
  </sheetViews>
  <sheetFormatPr baseColWidth="10" defaultRowHeight="12.75" x14ac:dyDescent="0.2"/>
  <cols>
    <col min="1" max="1" width="16.7109375" customWidth="1"/>
    <col min="2" max="2" width="17.28515625" customWidth="1"/>
    <col min="3" max="3" width="20.5703125" customWidth="1"/>
    <col min="9" max="9" width="27.85546875" customWidth="1"/>
  </cols>
  <sheetData>
    <row r="1" spans="1:13" ht="15" x14ac:dyDescent="0.2">
      <c r="A1" s="32"/>
      <c r="B1" s="32"/>
      <c r="C1" s="32"/>
      <c r="D1" s="32"/>
      <c r="E1" s="32"/>
      <c r="F1" s="32"/>
      <c r="G1" s="32"/>
      <c r="H1" s="32"/>
      <c r="I1" s="36" t="s">
        <v>52</v>
      </c>
      <c r="J1" s="32"/>
      <c r="K1" s="32"/>
      <c r="L1" s="32"/>
      <c r="M1" s="32"/>
    </row>
    <row r="2" spans="1:13" ht="15" x14ac:dyDescent="0.2">
      <c r="A2" s="32" t="s">
        <v>53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5" x14ac:dyDescent="0.2">
      <c r="A3" s="33" t="s">
        <v>54</v>
      </c>
      <c r="B3" s="31" t="s">
        <v>55</v>
      </c>
      <c r="C3" s="31" t="s">
        <v>72</v>
      </c>
      <c r="D3" s="34"/>
      <c r="E3" s="34"/>
      <c r="F3" s="34"/>
      <c r="G3" s="34"/>
      <c r="H3" s="34"/>
      <c r="I3" s="34"/>
      <c r="J3" s="32"/>
      <c r="K3" s="32"/>
      <c r="L3" s="32"/>
      <c r="M3" s="32"/>
    </row>
    <row r="4" spans="1:13" ht="15" x14ac:dyDescent="0.2">
      <c r="A4" s="33" t="s">
        <v>56</v>
      </c>
      <c r="B4" s="31">
        <v>100000</v>
      </c>
      <c r="C4" s="246"/>
      <c r="D4" s="35"/>
      <c r="E4" s="34"/>
      <c r="F4" s="34"/>
      <c r="G4" s="34"/>
      <c r="H4" s="34"/>
      <c r="I4" s="37" t="s">
        <v>74</v>
      </c>
      <c r="J4" s="32"/>
      <c r="K4" s="32"/>
      <c r="L4" s="32"/>
      <c r="M4" s="32"/>
    </row>
    <row r="5" spans="1:13" ht="15" x14ac:dyDescent="0.2">
      <c r="A5" s="33" t="s">
        <v>57</v>
      </c>
      <c r="B5" s="31">
        <v>780</v>
      </c>
      <c r="C5" s="246"/>
      <c r="D5" s="35"/>
      <c r="E5" s="34"/>
      <c r="F5" s="34"/>
      <c r="G5" s="34"/>
      <c r="H5" s="34"/>
      <c r="I5" s="37" t="s">
        <v>75</v>
      </c>
      <c r="J5" s="32"/>
      <c r="K5" s="32"/>
      <c r="L5" s="32"/>
      <c r="M5" s="32"/>
    </row>
    <row r="6" spans="1:13" ht="15" x14ac:dyDescent="0.2">
      <c r="A6" s="33" t="s">
        <v>58</v>
      </c>
      <c r="B6" s="31">
        <v>999</v>
      </c>
      <c r="C6" s="246"/>
      <c r="D6" s="35"/>
      <c r="E6" s="34"/>
      <c r="F6" s="34"/>
      <c r="G6" s="34"/>
      <c r="H6" s="34"/>
      <c r="I6" s="37" t="s">
        <v>75</v>
      </c>
      <c r="J6" s="32"/>
      <c r="K6" s="32"/>
      <c r="L6" s="32"/>
      <c r="M6" s="32"/>
    </row>
    <row r="7" spans="1:13" ht="15" x14ac:dyDescent="0.2">
      <c r="A7" s="33" t="s">
        <v>59</v>
      </c>
      <c r="B7" s="31">
        <v>5</v>
      </c>
      <c r="C7" s="246"/>
      <c r="D7" s="35"/>
      <c r="E7" s="34"/>
      <c r="F7" s="34"/>
      <c r="G7" s="34"/>
      <c r="H7" s="34"/>
      <c r="I7" s="37" t="s">
        <v>76</v>
      </c>
      <c r="J7" s="32"/>
      <c r="K7" s="32"/>
      <c r="L7" s="32"/>
      <c r="M7" s="32"/>
    </row>
    <row r="8" spans="1:13" ht="15" x14ac:dyDescent="0.2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 ht="15" x14ac:dyDescent="0.2">
      <c r="A9" s="32" t="s">
        <v>60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 ht="15" x14ac:dyDescent="0.2">
      <c r="A10" s="31" t="s">
        <v>39</v>
      </c>
      <c r="B10" s="31" t="s">
        <v>61</v>
      </c>
      <c r="C10" s="34"/>
      <c r="D10" s="34"/>
      <c r="E10" s="34"/>
      <c r="F10" s="34"/>
      <c r="G10" s="34"/>
      <c r="H10" s="32"/>
      <c r="I10" s="38"/>
      <c r="J10" s="32"/>
      <c r="K10" s="32"/>
      <c r="L10" s="32"/>
      <c r="M10" s="32"/>
    </row>
    <row r="11" spans="1:13" ht="15" x14ac:dyDescent="0.2">
      <c r="A11" s="31">
        <v>7</v>
      </c>
      <c r="B11" s="246"/>
      <c r="C11" s="35"/>
      <c r="D11" s="34"/>
      <c r="E11" s="34"/>
      <c r="F11" s="34"/>
      <c r="G11" s="34"/>
      <c r="H11" s="32"/>
      <c r="I11" s="37" t="s">
        <v>77</v>
      </c>
      <c r="J11" s="32"/>
      <c r="K11" s="32"/>
      <c r="L11" s="32"/>
      <c r="M11" s="32"/>
    </row>
    <row r="12" spans="1:13" ht="15" x14ac:dyDescent="0.2">
      <c r="A12" s="31">
        <v>44</v>
      </c>
      <c r="B12" s="246"/>
      <c r="C12" s="35"/>
      <c r="D12" s="34"/>
      <c r="E12" s="34"/>
      <c r="F12" s="34"/>
      <c r="G12" s="34"/>
      <c r="H12" s="32"/>
      <c r="I12" s="37" t="s">
        <v>78</v>
      </c>
      <c r="J12" s="32"/>
      <c r="K12" s="32"/>
      <c r="L12" s="32"/>
      <c r="M12" s="32"/>
    </row>
    <row r="13" spans="1:13" ht="15" x14ac:dyDescent="0.2">
      <c r="A13" s="31">
        <v>17</v>
      </c>
      <c r="B13" s="246"/>
      <c r="C13" s="35"/>
      <c r="D13" s="34"/>
      <c r="E13" s="34"/>
      <c r="F13" s="34"/>
      <c r="G13" s="34"/>
      <c r="H13" s="32"/>
      <c r="I13" s="37" t="s">
        <v>79</v>
      </c>
      <c r="J13" s="32"/>
      <c r="K13" s="32"/>
      <c r="L13" s="32"/>
      <c r="M13" s="32"/>
    </row>
    <row r="14" spans="1:13" ht="15" x14ac:dyDescent="0.2">
      <c r="A14" s="31">
        <v>13</v>
      </c>
      <c r="B14" s="246"/>
      <c r="C14" s="35"/>
      <c r="D14" s="34"/>
      <c r="E14" s="34"/>
      <c r="F14" s="34"/>
      <c r="G14" s="34"/>
      <c r="H14" s="32"/>
      <c r="I14" s="37" t="s">
        <v>77</v>
      </c>
      <c r="J14" s="32"/>
      <c r="K14" s="32"/>
      <c r="L14" s="32"/>
      <c r="M14" s="32"/>
    </row>
    <row r="15" spans="1:13" ht="15" x14ac:dyDescent="0.2">
      <c r="A15" s="31">
        <v>19</v>
      </c>
      <c r="B15" s="246"/>
      <c r="C15" s="35"/>
      <c r="D15" s="34"/>
      <c r="E15" s="34"/>
      <c r="F15" s="34"/>
      <c r="G15" s="34"/>
      <c r="H15" s="32"/>
      <c r="I15" s="37" t="s">
        <v>78</v>
      </c>
      <c r="J15" s="32"/>
      <c r="K15" s="32"/>
      <c r="L15" s="32"/>
      <c r="M15" s="32"/>
    </row>
    <row r="16" spans="1:13" ht="15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</row>
    <row r="17" spans="1:13" ht="15" x14ac:dyDescent="0.2">
      <c r="A17" s="32" t="s">
        <v>62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</row>
    <row r="18" spans="1:13" ht="15" x14ac:dyDescent="0.2">
      <c r="A18" s="31" t="s">
        <v>63</v>
      </c>
      <c r="B18" s="31" t="s">
        <v>64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1:13" ht="15" x14ac:dyDescent="0.2">
      <c r="A19" s="31">
        <v>29</v>
      </c>
      <c r="B19" s="246"/>
      <c r="C19" s="35"/>
      <c r="D19" s="34"/>
      <c r="E19" s="34"/>
      <c r="F19" s="34"/>
      <c r="G19" s="34"/>
      <c r="H19" s="34"/>
      <c r="I19" s="37">
        <f>IF(H19&gt;=92,1,IF(H19&gt;=81,2,IF(H19&gt;=67,3,IF(H19&gt;=50,4,IF(H19&gt;=30,5,6)))))</f>
        <v>6</v>
      </c>
      <c r="J19" s="32"/>
      <c r="K19" s="32"/>
      <c r="L19" s="32"/>
      <c r="M19" s="32"/>
    </row>
    <row r="20" spans="1:13" ht="15" x14ac:dyDescent="0.2">
      <c r="A20" s="31">
        <v>45</v>
      </c>
      <c r="B20" s="246"/>
      <c r="C20" s="35"/>
      <c r="D20" s="34"/>
      <c r="E20" s="34"/>
      <c r="F20" s="34"/>
      <c r="G20" s="34"/>
      <c r="H20" s="34"/>
      <c r="I20" s="37">
        <v>5</v>
      </c>
      <c r="J20" s="32"/>
      <c r="K20" s="32"/>
      <c r="L20" s="32"/>
      <c r="M20" s="32"/>
    </row>
    <row r="21" spans="1:13" ht="15" x14ac:dyDescent="0.2">
      <c r="A21" s="31">
        <v>81</v>
      </c>
      <c r="B21" s="246"/>
      <c r="C21" s="35"/>
      <c r="D21" s="34"/>
      <c r="E21" s="34"/>
      <c r="F21" s="34"/>
      <c r="G21" s="34"/>
      <c r="H21" s="34"/>
      <c r="I21" s="37">
        <v>2</v>
      </c>
      <c r="J21" s="32"/>
      <c r="K21" s="32"/>
      <c r="L21" s="32"/>
      <c r="M21" s="32"/>
    </row>
    <row r="22" spans="1:13" ht="15" x14ac:dyDescent="0.2">
      <c r="A22" s="31">
        <v>67</v>
      </c>
      <c r="B22" s="246"/>
      <c r="C22" s="35"/>
      <c r="D22" s="34"/>
      <c r="E22" s="34"/>
      <c r="F22" s="34"/>
      <c r="G22" s="34"/>
      <c r="H22" s="34"/>
      <c r="I22" s="37">
        <v>3</v>
      </c>
      <c r="J22" s="32"/>
      <c r="K22" s="32"/>
      <c r="L22" s="32"/>
      <c r="M22" s="32"/>
    </row>
    <row r="23" spans="1:13" ht="15" x14ac:dyDescent="0.2">
      <c r="A23" s="31">
        <v>92</v>
      </c>
      <c r="B23" s="246"/>
      <c r="C23" s="35"/>
      <c r="D23" s="34"/>
      <c r="E23" s="34"/>
      <c r="F23" s="34"/>
      <c r="G23" s="34"/>
      <c r="H23" s="34"/>
      <c r="I23" s="37">
        <v>1</v>
      </c>
      <c r="J23" s="32"/>
      <c r="K23" s="32"/>
      <c r="L23" s="32"/>
      <c r="M23" s="32"/>
    </row>
    <row r="24" spans="1:13" ht="15" x14ac:dyDescent="0.2">
      <c r="A24" s="31">
        <v>91</v>
      </c>
      <c r="B24" s="246"/>
      <c r="C24" s="35"/>
      <c r="D24" s="34"/>
      <c r="E24" s="34"/>
      <c r="F24" s="34"/>
      <c r="G24" s="34"/>
      <c r="H24" s="34"/>
      <c r="I24" s="37">
        <v>2</v>
      </c>
      <c r="J24" s="32"/>
      <c r="K24" s="32"/>
      <c r="L24" s="32"/>
      <c r="M24" s="32"/>
    </row>
    <row r="25" spans="1:13" ht="15" x14ac:dyDescent="0.2">
      <c r="A25" s="31">
        <v>67</v>
      </c>
      <c r="B25" s="246"/>
      <c r="C25" s="32"/>
      <c r="D25" s="32"/>
      <c r="E25" s="32"/>
      <c r="F25" s="32"/>
      <c r="G25" s="32"/>
      <c r="H25" s="32"/>
      <c r="I25" s="37">
        <v>3</v>
      </c>
      <c r="J25" s="32"/>
      <c r="K25" s="32"/>
      <c r="L25" s="32"/>
      <c r="M25" s="32"/>
    </row>
    <row r="26" spans="1:13" ht="15" x14ac:dyDescent="0.2">
      <c r="A26" s="31">
        <v>66</v>
      </c>
      <c r="B26" s="246"/>
      <c r="C26" s="32"/>
      <c r="D26" s="32"/>
      <c r="E26" s="32"/>
      <c r="F26" s="32"/>
      <c r="G26" s="32"/>
      <c r="H26" s="32"/>
      <c r="I26" s="37">
        <v>4</v>
      </c>
      <c r="J26" s="32"/>
      <c r="K26" s="32"/>
      <c r="L26" s="32"/>
      <c r="M26" s="32"/>
    </row>
    <row r="27" spans="1:13" ht="15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15" x14ac:dyDescent="0.2">
      <c r="A28" s="32" t="s">
        <v>65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15" x14ac:dyDescent="0.2">
      <c r="A29" s="33" t="s">
        <v>66</v>
      </c>
      <c r="B29" s="286" t="s">
        <v>73</v>
      </c>
      <c r="C29" s="286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15" x14ac:dyDescent="0.2">
      <c r="A30" s="33" t="s">
        <v>67</v>
      </c>
      <c r="B30" s="299"/>
      <c r="C30" s="299"/>
      <c r="D30" s="32"/>
      <c r="E30" s="32"/>
      <c r="F30" s="32"/>
      <c r="G30" s="32"/>
      <c r="H30" s="32"/>
      <c r="I30" s="37" t="s">
        <v>80</v>
      </c>
      <c r="J30" s="32"/>
      <c r="K30" s="32"/>
      <c r="L30" s="32"/>
      <c r="M30" s="32"/>
    </row>
    <row r="31" spans="1:13" ht="15" x14ac:dyDescent="0.2">
      <c r="A31" s="33" t="s">
        <v>68</v>
      </c>
      <c r="B31" s="299"/>
      <c r="C31" s="299"/>
      <c r="D31" s="32"/>
      <c r="E31" s="32"/>
      <c r="F31" s="32"/>
      <c r="G31" s="32"/>
      <c r="H31" s="32"/>
      <c r="I31" s="37" t="str">
        <f>IF(H31="Apfelsaft","alkoholfrei",IF(H31="Karottensaft","alkoholfrei","alkoholisch"))</f>
        <v>alkoholisch</v>
      </c>
      <c r="J31" s="32"/>
      <c r="K31" s="32"/>
      <c r="L31" s="32"/>
      <c r="M31" s="32"/>
    </row>
    <row r="32" spans="1:13" ht="15" x14ac:dyDescent="0.2">
      <c r="A32" s="33" t="s">
        <v>69</v>
      </c>
      <c r="B32" s="299"/>
      <c r="C32" s="299"/>
      <c r="D32" s="32"/>
      <c r="E32" s="32"/>
      <c r="F32" s="32"/>
      <c r="G32" s="32"/>
      <c r="H32" s="32"/>
      <c r="I32" s="37" t="s">
        <v>80</v>
      </c>
      <c r="J32" s="32"/>
      <c r="K32" s="32"/>
      <c r="L32" s="32"/>
      <c r="M32" s="32"/>
    </row>
    <row r="33" spans="1:13" ht="15" x14ac:dyDescent="0.2">
      <c r="A33" s="33" t="s">
        <v>70</v>
      </c>
      <c r="B33" s="299"/>
      <c r="C33" s="299"/>
      <c r="D33" s="32"/>
      <c r="E33" s="32"/>
      <c r="F33" s="32"/>
      <c r="G33" s="32"/>
      <c r="H33" s="32"/>
      <c r="I33" s="37" t="str">
        <f>IF(H33="Apfelsaft","alkoholfrei",IF(H33="Karottensaft","alkoholfrei","alkoholisch"))</f>
        <v>alkoholisch</v>
      </c>
      <c r="J33" s="32"/>
      <c r="K33" s="32"/>
      <c r="L33" s="32"/>
      <c r="M33" s="32"/>
    </row>
    <row r="34" spans="1:13" ht="15" x14ac:dyDescent="0.2">
      <c r="A34" s="33" t="s">
        <v>71</v>
      </c>
      <c r="B34" s="299"/>
      <c r="C34" s="299"/>
      <c r="D34" s="32"/>
      <c r="E34" s="32"/>
      <c r="F34" s="32"/>
      <c r="G34" s="32"/>
      <c r="H34" s="32"/>
      <c r="I34" s="37" t="str">
        <f>IF(H34="Apfelsaft","alkoholfrei",IF(H34="Karottensaft","alkoholfrei","alkoholisch"))</f>
        <v>alkoholisch</v>
      </c>
      <c r="J34" s="32"/>
      <c r="K34" s="32"/>
      <c r="L34" s="32"/>
      <c r="M34" s="32"/>
    </row>
    <row r="35" spans="1:13" ht="15" x14ac:dyDescent="0.2">
      <c r="A35" s="32"/>
      <c r="B35" s="32"/>
      <c r="C35" s="32"/>
      <c r="D35" s="32"/>
      <c r="E35" s="32"/>
      <c r="F35" s="32"/>
      <c r="G35" s="32"/>
      <c r="H35" s="32"/>
      <c r="I35" s="39"/>
      <c r="J35" s="32"/>
      <c r="K35" s="32"/>
      <c r="L35" s="32"/>
      <c r="M35" s="32"/>
    </row>
    <row r="36" spans="1:13" ht="15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</sheetData>
  <mergeCells count="6">
    <mergeCell ref="B34:C34"/>
    <mergeCell ref="B29:C29"/>
    <mergeCell ref="B30:C30"/>
    <mergeCell ref="B31:C31"/>
    <mergeCell ref="B32:C32"/>
    <mergeCell ref="B33:C33"/>
  </mergeCells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selection activeCell="D4" sqref="D4:E10"/>
    </sheetView>
  </sheetViews>
  <sheetFormatPr baseColWidth="10" defaultRowHeight="12.75" x14ac:dyDescent="0.2"/>
  <cols>
    <col min="1" max="1" width="15.7109375" customWidth="1"/>
    <col min="2" max="2" width="20.42578125" customWidth="1"/>
    <col min="3" max="3" width="15.140625" customWidth="1"/>
    <col min="4" max="4" width="19.85546875" customWidth="1"/>
    <col min="5" max="5" width="20.140625" customWidth="1"/>
  </cols>
  <sheetData>
    <row r="1" spans="1:9" ht="30" customHeight="1" x14ac:dyDescent="0.2">
      <c r="A1" s="301" t="s">
        <v>111</v>
      </c>
      <c r="B1" s="301"/>
      <c r="C1" s="301"/>
      <c r="D1" s="301"/>
      <c r="E1" s="301"/>
      <c r="F1" s="32"/>
    </row>
    <row r="2" spans="1:9" ht="15" customHeight="1" x14ac:dyDescent="0.2">
      <c r="A2" s="32"/>
      <c r="B2" s="32"/>
      <c r="C2" s="32"/>
      <c r="D2" s="32"/>
      <c r="E2" s="32"/>
      <c r="F2" s="32"/>
    </row>
    <row r="3" spans="1:9" ht="15" x14ac:dyDescent="0.2">
      <c r="A3" s="70"/>
      <c r="B3" s="69" t="s">
        <v>110</v>
      </c>
      <c r="C3" s="69" t="s">
        <v>109</v>
      </c>
      <c r="D3" s="69" t="s">
        <v>108</v>
      </c>
      <c r="E3" s="69" t="s">
        <v>107</v>
      </c>
      <c r="F3" s="32"/>
    </row>
    <row r="4" spans="1:9" ht="18" customHeight="1" x14ac:dyDescent="0.2">
      <c r="A4" s="32" t="s">
        <v>106</v>
      </c>
      <c r="B4" s="68">
        <v>78</v>
      </c>
      <c r="C4" s="67">
        <v>70</v>
      </c>
      <c r="D4" s="71"/>
      <c r="E4" s="72"/>
      <c r="F4" s="32"/>
      <c r="G4" s="300" t="s">
        <v>105</v>
      </c>
      <c r="H4" s="300"/>
      <c r="I4" s="300"/>
    </row>
    <row r="5" spans="1:9" ht="15" x14ac:dyDescent="0.2">
      <c r="A5" s="32" t="s">
        <v>104</v>
      </c>
      <c r="B5" s="68">
        <v>120</v>
      </c>
      <c r="C5" s="67">
        <v>100</v>
      </c>
      <c r="D5" s="71"/>
      <c r="E5" s="72"/>
      <c r="F5" s="32"/>
      <c r="G5" s="300"/>
      <c r="H5" s="300"/>
      <c r="I5" s="300"/>
    </row>
    <row r="6" spans="1:9" ht="15" x14ac:dyDescent="0.2">
      <c r="A6" s="32" t="s">
        <v>103</v>
      </c>
      <c r="B6" s="68">
        <v>80</v>
      </c>
      <c r="C6" s="67">
        <v>90</v>
      </c>
      <c r="D6" s="71"/>
      <c r="E6" s="72"/>
      <c r="F6" s="32"/>
      <c r="G6" s="300"/>
      <c r="H6" s="300"/>
      <c r="I6" s="300"/>
    </row>
    <row r="7" spans="1:9" ht="15" x14ac:dyDescent="0.2">
      <c r="A7" s="32" t="s">
        <v>102</v>
      </c>
      <c r="B7" s="68">
        <v>100</v>
      </c>
      <c r="C7" s="67">
        <v>90</v>
      </c>
      <c r="D7" s="71"/>
      <c r="E7" s="72"/>
      <c r="F7" s="32"/>
      <c r="G7" s="300"/>
      <c r="H7" s="300"/>
      <c r="I7" s="300"/>
    </row>
    <row r="8" spans="1:9" ht="15" x14ac:dyDescent="0.2">
      <c r="A8" s="32" t="s">
        <v>101</v>
      </c>
      <c r="B8" s="68">
        <v>168</v>
      </c>
      <c r="C8" s="67">
        <v>140</v>
      </c>
      <c r="D8" s="71"/>
      <c r="E8" s="72"/>
      <c r="F8" s="32"/>
      <c r="G8" s="300"/>
      <c r="H8" s="300"/>
      <c r="I8" s="300"/>
    </row>
    <row r="9" spans="1:9" ht="15" x14ac:dyDescent="0.2">
      <c r="A9" s="32" t="s">
        <v>100</v>
      </c>
      <c r="B9" s="68">
        <v>75</v>
      </c>
      <c r="C9" s="67">
        <v>80</v>
      </c>
      <c r="D9" s="71"/>
      <c r="E9" s="72"/>
      <c r="F9" s="32"/>
    </row>
    <row r="10" spans="1:9" ht="15" x14ac:dyDescent="0.2">
      <c r="A10" s="32" t="s">
        <v>99</v>
      </c>
      <c r="B10" s="68">
        <v>80</v>
      </c>
      <c r="C10" s="67">
        <v>60</v>
      </c>
      <c r="D10" s="71"/>
      <c r="E10" s="72"/>
      <c r="F10" s="32"/>
      <c r="G10" t="s">
        <v>291</v>
      </c>
      <c r="H10" t="s">
        <v>294</v>
      </c>
    </row>
    <row r="11" spans="1:9" ht="15" x14ac:dyDescent="0.2">
      <c r="A11" s="32"/>
      <c r="B11" s="32"/>
      <c r="C11" s="32"/>
      <c r="D11" s="32"/>
      <c r="E11" s="32"/>
      <c r="F11" s="32"/>
      <c r="G11" t="s">
        <v>292</v>
      </c>
      <c r="H11" t="s">
        <v>295</v>
      </c>
    </row>
    <row r="12" spans="1:9" ht="15" x14ac:dyDescent="0.2">
      <c r="A12" s="32"/>
      <c r="B12" s="32"/>
      <c r="C12" s="40" t="s">
        <v>52</v>
      </c>
      <c r="D12" s="32"/>
      <c r="E12" s="32"/>
      <c r="F12" s="32"/>
      <c r="G12" t="s">
        <v>293</v>
      </c>
      <c r="H12" t="s">
        <v>296</v>
      </c>
    </row>
    <row r="13" spans="1:9" ht="18" x14ac:dyDescent="0.25">
      <c r="A13" s="66"/>
      <c r="B13" s="66"/>
      <c r="C13" s="66"/>
      <c r="D13" s="66"/>
      <c r="E13" s="66"/>
      <c r="F13" s="66"/>
    </row>
    <row r="14" spans="1:9" ht="18" x14ac:dyDescent="0.25">
      <c r="A14" s="66"/>
      <c r="B14" s="66"/>
      <c r="C14" s="66"/>
      <c r="D14" s="66"/>
      <c r="E14" s="66"/>
      <c r="F14" s="66"/>
    </row>
    <row r="15" spans="1:9" ht="18" x14ac:dyDescent="0.25">
      <c r="A15" s="66"/>
      <c r="B15" s="66"/>
      <c r="C15" s="66"/>
      <c r="D15" s="66"/>
      <c r="E15" s="66"/>
      <c r="F15" s="66"/>
    </row>
  </sheetData>
  <mergeCells count="2">
    <mergeCell ref="G4:I8"/>
    <mergeCell ref="A1:E1"/>
  </mergeCells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37"/>
  <sheetViews>
    <sheetView workbookViewId="0">
      <selection activeCell="E4" sqref="E4"/>
    </sheetView>
  </sheetViews>
  <sheetFormatPr baseColWidth="10" defaultRowHeight="12.75" x14ac:dyDescent="0.2"/>
  <cols>
    <col min="1" max="1" width="9.28515625" customWidth="1"/>
    <col min="2" max="2" width="14" customWidth="1"/>
    <col min="3" max="3" width="18.42578125" customWidth="1"/>
    <col min="4" max="4" width="17.140625" customWidth="1"/>
    <col min="5" max="5" width="15" customWidth="1"/>
    <col min="6" max="6" width="18.28515625" customWidth="1"/>
    <col min="7" max="7" width="21.7109375" customWidth="1"/>
    <col min="12" max="12" width="34.85546875" customWidth="1"/>
  </cols>
  <sheetData>
    <row r="1" spans="1:22" ht="29.25" customHeight="1" x14ac:dyDescent="0.2">
      <c r="A1" s="302" t="s">
        <v>90</v>
      </c>
      <c r="B1" s="302"/>
      <c r="C1" s="302"/>
      <c r="D1" s="302"/>
      <c r="E1" s="302"/>
      <c r="F1" s="302"/>
      <c r="G1" s="302"/>
      <c r="H1" s="32"/>
      <c r="I1" s="32"/>
      <c r="J1" s="32"/>
      <c r="K1" s="32"/>
      <c r="L1" s="32"/>
      <c r="M1" s="32"/>
      <c r="N1" s="32"/>
    </row>
    <row r="2" spans="1:22" ht="15" x14ac:dyDescent="0.2">
      <c r="A2" s="32"/>
      <c r="B2" s="32"/>
      <c r="C2" s="32"/>
      <c r="D2" s="32"/>
      <c r="E2" s="32"/>
      <c r="F2" s="32"/>
      <c r="G2" s="32"/>
      <c r="H2" s="32"/>
      <c r="I2" s="303" t="s">
        <v>91</v>
      </c>
      <c r="J2" s="303"/>
      <c r="K2" s="303"/>
      <c r="L2" s="303"/>
      <c r="M2" s="32"/>
      <c r="N2" s="32"/>
    </row>
    <row r="3" spans="1:22" ht="52.5" customHeight="1" x14ac:dyDescent="0.2">
      <c r="A3" s="54" t="s">
        <v>92</v>
      </c>
      <c r="B3" s="55" t="s">
        <v>93</v>
      </c>
      <c r="C3" s="55" t="s">
        <v>94</v>
      </c>
      <c r="D3" s="55" t="s">
        <v>95</v>
      </c>
      <c r="E3" s="55" t="s">
        <v>96</v>
      </c>
      <c r="F3" s="55" t="s">
        <v>97</v>
      </c>
      <c r="G3" s="55" t="s">
        <v>98</v>
      </c>
      <c r="H3" s="32"/>
      <c r="I3" s="303"/>
      <c r="J3" s="303"/>
      <c r="K3" s="303"/>
      <c r="L3" s="303"/>
      <c r="M3" s="56"/>
      <c r="N3" s="32"/>
      <c r="Q3" s="56"/>
      <c r="R3" s="32"/>
      <c r="S3" s="32"/>
      <c r="T3" s="32"/>
      <c r="U3" s="32"/>
      <c r="V3" s="32"/>
    </row>
    <row r="4" spans="1:22" ht="15" x14ac:dyDescent="0.2">
      <c r="A4" s="32">
        <v>2</v>
      </c>
      <c r="B4" s="32">
        <v>210.73</v>
      </c>
      <c r="C4" s="57">
        <v>42035</v>
      </c>
      <c r="D4" s="57">
        <v>42040</v>
      </c>
      <c r="E4" s="58"/>
      <c r="F4" s="59"/>
      <c r="G4" s="60"/>
      <c r="H4" s="61"/>
      <c r="I4" s="303"/>
      <c r="J4" s="303"/>
      <c r="K4" s="303"/>
      <c r="L4" s="303"/>
      <c r="M4" s="56"/>
      <c r="N4" s="32"/>
    </row>
    <row r="5" spans="1:22" ht="15" x14ac:dyDescent="0.2">
      <c r="A5" s="32">
        <v>5</v>
      </c>
      <c r="B5" s="32">
        <v>387.91</v>
      </c>
      <c r="C5" s="57">
        <v>42036</v>
      </c>
      <c r="D5" s="57">
        <v>42047</v>
      </c>
      <c r="E5" s="58"/>
      <c r="F5" s="59"/>
      <c r="G5" s="60"/>
      <c r="H5" s="61"/>
      <c r="I5" s="303"/>
      <c r="J5" s="303"/>
      <c r="K5" s="303"/>
      <c r="L5" s="303"/>
      <c r="M5" s="56"/>
      <c r="N5" s="32"/>
    </row>
    <row r="6" spans="1:22" ht="15" x14ac:dyDescent="0.2">
      <c r="A6" s="32">
        <v>125</v>
      </c>
      <c r="B6" s="32">
        <v>610.83000000000004</v>
      </c>
      <c r="C6" s="57">
        <v>42039</v>
      </c>
      <c r="D6" s="57">
        <v>42063</v>
      </c>
      <c r="E6" s="58"/>
      <c r="F6" s="59"/>
      <c r="G6" s="60"/>
      <c r="H6" s="32"/>
      <c r="I6" s="303"/>
      <c r="J6" s="303"/>
      <c r="K6" s="303"/>
      <c r="L6" s="303"/>
      <c r="M6" s="32"/>
      <c r="N6" s="32"/>
    </row>
    <row r="7" spans="1:22" ht="15" x14ac:dyDescent="0.2">
      <c r="A7" s="32">
        <v>32</v>
      </c>
      <c r="B7" s="32">
        <v>200.91</v>
      </c>
      <c r="C7" s="57">
        <v>42042</v>
      </c>
      <c r="D7" s="62">
        <v>42045</v>
      </c>
      <c r="E7" s="58"/>
      <c r="F7" s="59"/>
      <c r="G7" s="60"/>
      <c r="H7" s="61"/>
      <c r="I7" s="303"/>
      <c r="J7" s="303"/>
      <c r="K7" s="303"/>
      <c r="L7" s="303"/>
      <c r="M7" s="32"/>
      <c r="N7" s="32"/>
    </row>
    <row r="8" spans="1:22" ht="15" x14ac:dyDescent="0.2">
      <c r="A8" s="32"/>
      <c r="B8" s="32"/>
      <c r="C8" s="32"/>
      <c r="D8" s="32"/>
      <c r="E8" s="32"/>
      <c r="F8" s="63"/>
      <c r="G8" s="63"/>
      <c r="H8" s="32"/>
      <c r="I8" s="32"/>
      <c r="J8" s="32"/>
      <c r="K8" s="32"/>
      <c r="L8" s="32"/>
      <c r="M8" s="32"/>
      <c r="N8" s="32"/>
    </row>
    <row r="9" spans="1:22" ht="15" x14ac:dyDescent="0.2">
      <c r="A9" s="32"/>
      <c r="B9" s="32"/>
      <c r="C9" s="32"/>
      <c r="D9" s="40" t="s">
        <v>52</v>
      </c>
      <c r="E9" s="32"/>
      <c r="F9" s="32"/>
      <c r="G9" s="64"/>
      <c r="H9" s="65"/>
      <c r="I9" s="32"/>
      <c r="J9" s="32"/>
      <c r="K9" s="32"/>
      <c r="L9" s="32"/>
      <c r="M9" s="32"/>
      <c r="N9" s="32"/>
    </row>
    <row r="10" spans="1:22" ht="15" x14ac:dyDescent="0.2">
      <c r="A10" s="32"/>
      <c r="B10" s="32"/>
      <c r="C10" s="32"/>
      <c r="D10" s="32"/>
      <c r="E10" s="32"/>
      <c r="F10" s="32"/>
      <c r="G10" s="63"/>
      <c r="H10" s="32"/>
      <c r="I10" s="32"/>
      <c r="J10" s="32"/>
      <c r="K10" s="32"/>
      <c r="L10" s="32"/>
      <c r="M10" s="32"/>
      <c r="N10" s="32"/>
    </row>
    <row r="11" spans="1:22" ht="15" x14ac:dyDescent="0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spans="1:22" ht="1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22" ht="15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 spans="1:22" ht="15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22" ht="15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spans="1:22" ht="15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spans="1:14" ht="15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spans="1:14" ht="15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1:14" ht="15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4" ht="15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 ht="15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spans="1:14" ht="15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 ht="15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4" ht="15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4" ht="15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ht="15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 ht="15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x14ac:dyDescent="0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 ht="15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 ht="15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1:14" ht="15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 ht="15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4" ht="15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1:14" ht="15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4" ht="15" x14ac:dyDescent="0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</sheetData>
  <mergeCells count="2">
    <mergeCell ref="A1:G1"/>
    <mergeCell ref="I2:L7"/>
  </mergeCells>
  <conditionalFormatting sqref="F4:F7">
    <cfRule type="cellIs" dxfId="0" priority="1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BDDF-02D7-465C-ADD7-65FCAF5310C3}">
  <dimension ref="A1:E14"/>
  <sheetViews>
    <sheetView workbookViewId="0">
      <selection activeCell="G21" sqref="G21"/>
    </sheetView>
  </sheetViews>
  <sheetFormatPr baseColWidth="10" defaultRowHeight="12.75" x14ac:dyDescent="0.2"/>
  <cols>
    <col min="1" max="1" width="21.28515625" bestFit="1" customWidth="1"/>
    <col min="2" max="2" width="19.28515625" customWidth="1"/>
    <col min="3" max="3" width="9.7109375" bestFit="1" customWidth="1"/>
    <col min="4" max="4" width="20.140625" bestFit="1" customWidth="1"/>
    <col min="5" max="5" width="17.7109375" bestFit="1" customWidth="1"/>
  </cols>
  <sheetData>
    <row r="1" spans="1:5" ht="18.75" x14ac:dyDescent="0.3">
      <c r="A1" s="305" t="s">
        <v>248</v>
      </c>
      <c r="B1" s="306"/>
      <c r="C1" s="306"/>
      <c r="D1" s="306"/>
      <c r="E1" s="306"/>
    </row>
    <row r="3" spans="1:5" ht="15" x14ac:dyDescent="0.25">
      <c r="A3" s="304" t="s">
        <v>249</v>
      </c>
      <c r="B3" s="304"/>
      <c r="D3" s="304" t="s">
        <v>250</v>
      </c>
      <c r="E3" s="304"/>
    </row>
    <row r="4" spans="1:5" x14ac:dyDescent="0.2">
      <c r="A4" s="169" t="s">
        <v>251</v>
      </c>
      <c r="B4" s="169" t="s">
        <v>252</v>
      </c>
      <c r="D4" s="169" t="s">
        <v>253</v>
      </c>
      <c r="E4" s="169" t="s">
        <v>254</v>
      </c>
    </row>
    <row r="5" spans="1:5" x14ac:dyDescent="0.2">
      <c r="A5" s="170" t="s">
        <v>255</v>
      </c>
      <c r="B5" s="170" t="s">
        <v>256</v>
      </c>
      <c r="D5" s="170" t="s">
        <v>257</v>
      </c>
      <c r="E5" s="170" t="s">
        <v>256</v>
      </c>
    </row>
    <row r="6" spans="1:5" x14ac:dyDescent="0.2">
      <c r="A6" s="170" t="s">
        <v>258</v>
      </c>
      <c r="B6" s="170" t="s">
        <v>254</v>
      </c>
      <c r="D6" s="170" t="s">
        <v>258</v>
      </c>
      <c r="E6" s="170" t="s">
        <v>252</v>
      </c>
    </row>
    <row r="7" spans="1:5" x14ac:dyDescent="0.2">
      <c r="E7" s="171"/>
    </row>
    <row r="8" spans="1:5" ht="15" x14ac:dyDescent="0.25">
      <c r="B8" s="172" t="s">
        <v>259</v>
      </c>
      <c r="C8" s="172" t="s">
        <v>260</v>
      </c>
      <c r="D8" s="172" t="s">
        <v>261</v>
      </c>
      <c r="E8" s="171"/>
    </row>
    <row r="9" spans="1:5" x14ac:dyDescent="0.2">
      <c r="B9" s="173" t="s">
        <v>262</v>
      </c>
      <c r="C9" s="170">
        <v>62</v>
      </c>
      <c r="D9" s="247"/>
    </row>
    <row r="10" spans="1:5" x14ac:dyDescent="0.2">
      <c r="B10" s="173" t="s">
        <v>263</v>
      </c>
      <c r="C10" s="170">
        <v>91</v>
      </c>
      <c r="D10" s="247"/>
    </row>
    <row r="11" spans="1:5" x14ac:dyDescent="0.2">
      <c r="B11" s="173" t="s">
        <v>264</v>
      </c>
      <c r="C11" s="170">
        <v>70</v>
      </c>
      <c r="D11" s="247"/>
    </row>
    <row r="12" spans="1:5" x14ac:dyDescent="0.2">
      <c r="B12" s="173" t="s">
        <v>265</v>
      </c>
      <c r="C12" s="170">
        <v>50</v>
      </c>
      <c r="D12" s="247"/>
    </row>
    <row r="14" spans="1:5" x14ac:dyDescent="0.2">
      <c r="D14" s="51" t="s">
        <v>52</v>
      </c>
    </row>
  </sheetData>
  <mergeCells count="3">
    <mergeCell ref="A3:B3"/>
    <mergeCell ref="D3:E3"/>
    <mergeCell ref="A1:E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Übung1</vt:lpstr>
      <vt:lpstr>Übung2</vt:lpstr>
      <vt:lpstr>Übung3</vt:lpstr>
      <vt:lpstr>Übung4</vt:lpstr>
      <vt:lpstr>Übung5</vt:lpstr>
      <vt:lpstr>Übung6</vt:lpstr>
      <vt:lpstr>Übung7</vt:lpstr>
      <vt:lpstr>Übung8</vt:lpstr>
      <vt:lpstr>Übung9</vt:lpstr>
      <vt:lpstr>Übung10</vt:lpstr>
      <vt:lpstr>11Ausbildungsvergütung</vt:lpstr>
      <vt:lpstr>12Weihnachtsgeld</vt:lpstr>
      <vt:lpstr>13Gehaltszuschlag</vt:lpstr>
      <vt:lpstr>14Tarifvertrag</vt:lpstr>
      <vt:lpstr>15Hotel</vt:lpstr>
      <vt:lpstr>16Vergleich Zahlenreihen</vt:lpstr>
      <vt:lpstr>17Verschachtelte Wenn Funktion</vt:lpstr>
      <vt:lpstr>18Analyse</vt:lpstr>
      <vt:lpstr>19Skontoberechnung</vt:lpstr>
      <vt:lpstr>20Einstellungstest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ZOTAC</dc:creator>
  <cp:lastModifiedBy>Emil Zin</cp:lastModifiedBy>
  <dcterms:created xsi:type="dcterms:W3CDTF">2011-11-15T13:26:18Z</dcterms:created>
  <dcterms:modified xsi:type="dcterms:W3CDTF">2026-03-09T13:55:14Z</dcterms:modified>
</cp:coreProperties>
</file>